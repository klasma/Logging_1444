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46216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Trädlärka</t>
        </is>
      </c>
      <c r="V2">
        <f>HYPERLINK("https://klasma.github.io/Logging_1444/artfynd/A 31076-2022 artfynd.xlsx", "A 31076-2022")</f>
        <v/>
      </c>
      <c r="W2">
        <f>HYPERLINK("https://klasma.github.io/Logging_1444/kartor/A 31076-2022 karta.png", "A 31076-2022")</f>
        <v/>
      </c>
      <c r="Y2">
        <f>HYPERLINK("https://klasma.github.io/Logging_1444/klagomål/A 31076-2022 FSC-klagomål.docx", "A 31076-2022")</f>
        <v/>
      </c>
      <c r="Z2">
        <f>HYPERLINK("https://klasma.github.io/Logging_1444/klagomålsmail/A 31076-2022 FSC-klagomål mail.docx", "A 31076-2022")</f>
        <v/>
      </c>
      <c r="AA2">
        <f>HYPERLINK("https://klasma.github.io/Logging_1444/tillsyn/A 31076-2022 tillsynsbegäran.docx", "A 31076-2022")</f>
        <v/>
      </c>
      <c r="AB2">
        <f>HYPERLINK("https://klasma.github.io/Logging_1444/tillsynsmail/A 31076-2022 tillsynsbegäran mail.docx", "A 31076-2022")</f>
        <v/>
      </c>
      <c r="AC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46216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46216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46216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46216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46216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46216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46216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46216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35091-2024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46216</v>
      </c>
      <c r="F11" t="inlineStr">
        <is>
          <t>VÄSTRA GÖTALANDS LÄN</t>
        </is>
      </c>
      <c r="G11" t="inlineStr">
        <is>
          <t>GRÄSTORP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25566-2025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46216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Sveaskog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46216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40126-2023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45169</v>
      </c>
      <c r="E14" s="1" t="n">
        <v>46216</v>
      </c>
      <c r="F14" t="inlineStr">
        <is>
          <t>VÄSTRA GÖTALANDS LÄN</t>
        </is>
      </c>
      <c r="G14" t="inlineStr">
        <is>
          <t>GRÄSTORP</t>
        </is>
      </c>
      <c r="I14" t="n">
        <v>2.5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48865-2024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45594</v>
      </c>
      <c r="E15" s="1" t="n">
        <v>46216</v>
      </c>
      <c r="F15" t="inlineStr">
        <is>
          <t>VÄSTRA GÖTALANDS LÄN</t>
        </is>
      </c>
      <c r="G15" t="inlineStr">
        <is>
          <t>GRÄSTORP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32665-2025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45838</v>
      </c>
      <c r="E16" s="1" t="n">
        <v>46216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46216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48596-2023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45208</v>
      </c>
      <c r="E18" s="1" t="n">
        <v>46216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2756-2026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46216</v>
      </c>
      <c r="F19" t="inlineStr">
        <is>
          <t>VÄSTRA GÖTALANDS LÄN</t>
        </is>
      </c>
      <c r="G19" t="inlineStr">
        <is>
          <t>GRÄSTORP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24453-2025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45798</v>
      </c>
      <c r="E20" s="1" t="n">
        <v>46216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2263-2025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46216</v>
      </c>
      <c r="F21" t="inlineStr">
        <is>
          <t>VÄSTRA GÖTALANDS LÄN</t>
        </is>
      </c>
      <c r="G21" t="inlineStr">
        <is>
          <t>GRÄSTORP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46216</v>
      </c>
      <c r="F22" t="inlineStr">
        <is>
          <t>VÄSTRA GÖTALANDS LÄN</t>
        </is>
      </c>
      <c r="G22" t="inlineStr">
        <is>
          <t>GRÄSTORP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43924-2022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44838</v>
      </c>
      <c r="E23" s="1" t="n">
        <v>46216</v>
      </c>
      <c r="F23" t="inlineStr">
        <is>
          <t>VÄSTRA GÖTALANDS LÄN</t>
        </is>
      </c>
      <c r="G23" t="inlineStr">
        <is>
          <t>GRÄSTORP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63585-2025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46216</v>
      </c>
      <c r="F24" t="inlineStr">
        <is>
          <t>VÄSTRA GÖTALANDS LÄN</t>
        </is>
      </c>
      <c r="G24" t="inlineStr">
        <is>
          <t>GRÄSTORP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13718-2025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45737</v>
      </c>
      <c r="E25" s="1" t="n">
        <v>46216</v>
      </c>
      <c r="F25" t="inlineStr">
        <is>
          <t>VÄSTRA GÖTALANDS LÄN</t>
        </is>
      </c>
      <c r="G25" t="inlineStr">
        <is>
          <t>GRÄSTORP</t>
        </is>
      </c>
      <c r="H25" t="inlineStr">
        <is>
          <t>Kyrkan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19282-2024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46216</v>
      </c>
      <c r="F26" t="inlineStr">
        <is>
          <t>VÄSTRA GÖTALANDS LÄN</t>
        </is>
      </c>
      <c r="G26" t="inlineStr">
        <is>
          <t>GRÄSTORP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12902-2026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46216</v>
      </c>
      <c r="F27" t="inlineStr">
        <is>
          <t>VÄSTRA GÖTALANDS LÄN</t>
        </is>
      </c>
      <c r="G27" t="inlineStr">
        <is>
          <t>GRÄSTORP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14103-2026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46099</v>
      </c>
      <c r="E28" s="1" t="n">
        <v>46216</v>
      </c>
      <c r="F28" t="inlineStr">
        <is>
          <t>VÄSTRA GÖTALANDS LÄN</t>
        </is>
      </c>
      <c r="G28" t="inlineStr">
        <is>
          <t>GRÄSTORP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20198-2023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45055</v>
      </c>
      <c r="E29" s="1" t="n">
        <v>46216</v>
      </c>
      <c r="F29" t="inlineStr">
        <is>
          <t>VÄSTRA GÖTALANDS LÄN</t>
        </is>
      </c>
      <c r="G29" t="inlineStr">
        <is>
          <t>GRÄSTORP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16496-2026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46216</v>
      </c>
      <c r="F30" t="inlineStr">
        <is>
          <t>VÄSTRA GÖTALANDS LÄN</t>
        </is>
      </c>
      <c r="G30" t="inlineStr">
        <is>
          <t>GRÄSTORP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22167-2024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45446</v>
      </c>
      <c r="E31" s="1" t="n">
        <v>46216</v>
      </c>
      <c r="F31" t="inlineStr">
        <is>
          <t>VÄSTRA GÖTALANDS LÄN</t>
        </is>
      </c>
      <c r="G31" t="inlineStr">
        <is>
          <t>GRÄSTORP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46216</v>
      </c>
      <c r="F32" t="inlineStr">
        <is>
          <t>VÄSTRA GÖTALANDS LÄN</t>
        </is>
      </c>
      <c r="G32" t="inlineStr">
        <is>
          <t>GRÄSTORP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17666-2022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46216</v>
      </c>
      <c r="F33" t="inlineStr">
        <is>
          <t>VÄSTRA GÖTALANDS LÄN</t>
        </is>
      </c>
      <c r="G33" t="inlineStr">
        <is>
          <t>GRÄSTORP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16011-2023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45026</v>
      </c>
      <c r="E34" s="1" t="n">
        <v>46216</v>
      </c>
      <c r="F34" t="inlineStr">
        <is>
          <t>VÄSTRA GÖTALANDS LÄN</t>
        </is>
      </c>
      <c r="G34" t="inlineStr">
        <is>
          <t>GRÄSTORP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53943-2024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45616</v>
      </c>
      <c r="E35" s="1" t="n">
        <v>46216</v>
      </c>
      <c r="F35" t="inlineStr">
        <is>
          <t>VÄSTRA GÖTALANDS LÄN</t>
        </is>
      </c>
      <c r="G35" t="inlineStr">
        <is>
          <t>GRÄSTORP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19766-2026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46216</v>
      </c>
      <c r="F36" t="inlineStr">
        <is>
          <t>VÄSTRA GÖTALANDS LÄN</t>
        </is>
      </c>
      <c r="G36" t="inlineStr">
        <is>
          <t>GRÄSTORP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25293-2026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46216</v>
      </c>
      <c r="F37" t="inlineStr">
        <is>
          <t>VÄSTRA GÖTALANDS LÄN</t>
        </is>
      </c>
      <c r="G37" t="inlineStr">
        <is>
          <t>GRÄSTORP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16172-2024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46216</v>
      </c>
      <c r="F38" t="inlineStr">
        <is>
          <t>VÄSTRA GÖTALANDS LÄN</t>
        </is>
      </c>
      <c r="G38" t="inlineStr">
        <is>
          <t>GRÄSTORP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20041-2026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46216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46216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26859-2025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45810</v>
      </c>
      <c r="E41" s="1" t="n">
        <v>46216</v>
      </c>
      <c r="F41" t="inlineStr">
        <is>
          <t>VÄSTRA GÖTALANDS LÄN</t>
        </is>
      </c>
      <c r="G41" t="inlineStr">
        <is>
          <t>GRÄSTORP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20039-2026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46216</v>
      </c>
      <c r="F42" t="inlineStr">
        <is>
          <t>VÄSTRA GÖTALANDS LÄN</t>
        </is>
      </c>
      <c r="G42" t="inlineStr">
        <is>
          <t>GRÄSTORP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11345-2024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45372</v>
      </c>
      <c r="E43" s="1" t="n">
        <v>46216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26943-2026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46216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59569-2022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44907</v>
      </c>
      <c r="E45" s="1" t="n">
        <v>46216</v>
      </c>
      <c r="F45" t="inlineStr">
        <is>
          <t>VÄSTRA GÖTALANDS LÄN</t>
        </is>
      </c>
      <c r="G45" t="inlineStr">
        <is>
          <t>GRÄSTORP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31073-2022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44769</v>
      </c>
      <c r="E46" s="1" t="n">
        <v>46216</v>
      </c>
      <c r="F46" t="inlineStr">
        <is>
          <t>VÄSTRA GÖTALANDS LÄN</t>
        </is>
      </c>
      <c r="G46" t="inlineStr">
        <is>
          <t>GRÄSTORP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21711-2026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46149</v>
      </c>
      <c r="E47" s="1" t="n">
        <v>46216</v>
      </c>
      <c r="F47" t="inlineStr">
        <is>
          <t>VÄSTRA GÖTALANDS LÄN</t>
        </is>
      </c>
      <c r="G47" t="inlineStr">
        <is>
          <t>GRÄSTORP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28065-2026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46216</v>
      </c>
      <c r="F48" t="inlineStr">
        <is>
          <t>VÄSTRA GÖTALANDS LÄN</t>
        </is>
      </c>
      <c r="G48" t="inlineStr">
        <is>
          <t>GRÄSTORP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47573-2024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45587</v>
      </c>
      <c r="E49" s="1" t="n">
        <v>46216</v>
      </c>
      <c r="F49" t="inlineStr">
        <is>
          <t>VÄSTRA GÖTALANDS LÄN</t>
        </is>
      </c>
      <c r="G49" t="inlineStr">
        <is>
          <t>GRÄSTORP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60236-2024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46216</v>
      </c>
      <c r="F50" t="inlineStr">
        <is>
          <t>VÄSTRA GÖTALANDS LÄN</t>
        </is>
      </c>
      <c r="G50" t="inlineStr">
        <is>
          <t>GRÄSTORP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35394-2023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46216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29440-2026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46216</v>
      </c>
      <c r="F52" t="inlineStr">
        <is>
          <t>VÄSTRA GÖTALANDS LÄN</t>
        </is>
      </c>
      <c r="G52" t="inlineStr">
        <is>
          <t>GRÄSTORP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18724-2026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46216</v>
      </c>
      <c r="F53" t="inlineStr">
        <is>
          <t>VÄSTRA GÖTALANDS LÄN</t>
        </is>
      </c>
      <c r="G53" t="inlineStr">
        <is>
          <t>GRÄSTORP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22914-2026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46160</v>
      </c>
      <c r="E54" s="1" t="n">
        <v>46216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45085</v>
      </c>
      <c r="E55" s="1" t="n">
        <v>46216</v>
      </c>
      <c r="F55" t="inlineStr">
        <is>
          <t>VÄSTRA GÖTALANDS LÄN</t>
        </is>
      </c>
      <c r="G55" t="inlineStr">
        <is>
          <t>GRÄSTORP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59311-2024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46216</v>
      </c>
      <c r="F56" t="inlineStr">
        <is>
          <t>VÄSTRA GÖTALANDS LÄN</t>
        </is>
      </c>
      <c r="G56" t="inlineStr">
        <is>
          <t>GRÄSTORP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8650-2025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45712</v>
      </c>
      <c r="E57" s="1" t="n">
        <v>46216</v>
      </c>
      <c r="F57" t="inlineStr">
        <is>
          <t>VÄSTRA GÖTALANDS LÄN</t>
        </is>
      </c>
      <c r="G57" t="inlineStr">
        <is>
          <t>GRÄSTORP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11171-2025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45724</v>
      </c>
      <c r="E58" s="1" t="n">
        <v>46216</v>
      </c>
      <c r="F58" t="inlineStr">
        <is>
          <t>VÄSTRA GÖTALANDS LÄN</t>
        </is>
      </c>
      <c r="G58" t="inlineStr">
        <is>
          <t>GRÄSTORP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49621-2022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46216</v>
      </c>
      <c r="F59" t="inlineStr">
        <is>
          <t>VÄSTRA GÖTALANDS LÄN</t>
        </is>
      </c>
      <c r="G59" t="inlineStr">
        <is>
          <t>GRÄSTORP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46216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S 2400-2022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44690</v>
      </c>
      <c r="E61" s="1" t="n">
        <v>46216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S 1654-2025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46216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>
      <c r="A63" t="inlineStr">
        <is>
          <t>S 1657-2025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45803</v>
      </c>
      <c r="E63" s="1" t="n">
        <v>46216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2026-07-13T14:52:39Z</dcterms:created>
  <dcterms:modified xmlns:dcterms="http://purl.org/dc/terms/" xmlns:xsi="http://www.w3.org/2001/XMLSchema-instance" xsi:type="dcterms:W3CDTF">2026-07-13T14:52:40Z</dcterms:modified>
</cp:coreProperties>
</file>