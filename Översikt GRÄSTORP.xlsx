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31076-2022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44769</v>
      </c>
      <c r="E2" s="1" t="n">
        <v>46326</v>
      </c>
      <c r="F2" t="inlineStr">
        <is>
          <t>VÄSTRA GÖTALANDS LÄN</t>
        </is>
      </c>
      <c r="G2" t="inlineStr">
        <is>
          <t>GRÄSTORP</t>
        </is>
      </c>
      <c r="I2" t="n">
        <v>0.5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s="2" t="inlineStr">
        <is>
          <t>Trädlärka</t>
        </is>
      </c>
      <c r="W2">
        <f>HYPERLINK("https://klasma.github.io/Logging_1444/artfynd/A 31076-2022 artfynd.xlsx", "A 31076-2022")</f>
        <v/>
      </c>
      <c r="X2">
        <f>HYPERLINK("https://klasma.github.io/Logging_1444/kartor/A 31076-2022 karta.png", "A 31076-2022")</f>
        <v/>
      </c>
      <c r="Y2">
        <f>HYPERLINK("https://klasma.github.io/Logging_1444/kartor_geotiff/A 31076-2022 georefererad karta.tif", "A 31076-2022")</f>
        <v/>
      </c>
      <c r="AA2">
        <f>HYPERLINK("https://klasma.github.io/Logging_1444/klagomål/A 31076-2022 FSC-klagomål.docx", "A 31076-2022")</f>
        <v/>
      </c>
      <c r="AB2">
        <f>HYPERLINK("https://klasma.github.io/Logging_1444/klagomålsmail/A 31076-2022 FSC-klagomål mail.docx", "A 31076-2022")</f>
        <v/>
      </c>
      <c r="AC2">
        <f>HYPERLINK("https://klasma.github.io/Logging_1444/tillsyn/A 31076-2022 tillsynsbegäran.docx", "A 31076-2022")</f>
        <v/>
      </c>
      <c r="AD2">
        <f>HYPERLINK("https://klasma.github.io/Logging_1444/tillsynsmail/A 31076-2022 tillsynsbegäran mail.docx", "A 31076-2022")</f>
        <v/>
      </c>
      <c r="AE2">
        <f>HYPERLINK("https://klasma.github.io/Logging_1444/fåglar/A 31076-2022 prioriterade fågelarter.docx", "A 31076-2022")</f>
        <v/>
      </c>
    </row>
    <row r="3" ht="15" customHeight="1">
      <c r="A3" t="inlineStr">
        <is>
          <t>A 44601-2022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44840</v>
      </c>
      <c r="E3" s="1" t="n">
        <v>46326</v>
      </c>
      <c r="F3" t="inlineStr">
        <is>
          <t>VÄSTRA GÖTALANDS LÄN</t>
        </is>
      </c>
      <c r="G3" t="inlineStr">
        <is>
          <t>GRÄSTORP</t>
        </is>
      </c>
      <c r="I3" t="n">
        <v>0.8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s="2" t="inlineStr"/>
    </row>
    <row r="4" ht="15" customHeight="1">
      <c r="A4" t="inlineStr">
        <is>
          <t>A 37214-2022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44806</v>
      </c>
      <c r="E4" s="1" t="n">
        <v>46326</v>
      </c>
      <c r="F4" t="inlineStr">
        <is>
          <t>VÄSTRA GÖTALANDS LÄN</t>
        </is>
      </c>
      <c r="G4" t="inlineStr">
        <is>
          <t>GRÄSTORP</t>
        </is>
      </c>
      <c r="I4" t="n">
        <v>4.8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s="2" t="inlineStr"/>
    </row>
    <row r="5" ht="15" customHeight="1">
      <c r="A5" t="inlineStr">
        <is>
          <t>A 8183-2022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44609</v>
      </c>
      <c r="E5" s="1" t="n">
        <v>46326</v>
      </c>
      <c r="F5" t="inlineStr">
        <is>
          <t>VÄSTRA GÖTALANDS LÄN</t>
        </is>
      </c>
      <c r="G5" t="inlineStr">
        <is>
          <t>GRÄSTORP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s="2" t="inlineStr"/>
    </row>
    <row r="6" ht="15" customHeight="1">
      <c r="A6" t="inlineStr">
        <is>
          <t>A 42169-2022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44830</v>
      </c>
      <c r="E6" s="1" t="n">
        <v>46326</v>
      </c>
      <c r="F6" t="inlineStr">
        <is>
          <t>VÄSTRA GÖTALANDS LÄN</t>
        </is>
      </c>
      <c r="G6" t="inlineStr">
        <is>
          <t>GRÄSTORP</t>
        </is>
      </c>
      <c r="I6" t="n">
        <v>0.8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s="2" t="inlineStr"/>
    </row>
    <row r="7" ht="15" customHeight="1">
      <c r="A7" t="inlineStr">
        <is>
          <t>A 49273-2022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44861</v>
      </c>
      <c r="E7" s="1" t="n">
        <v>46326</v>
      </c>
      <c r="F7" t="inlineStr">
        <is>
          <t>VÄSTRA GÖTALANDS LÄN</t>
        </is>
      </c>
      <c r="G7" t="inlineStr">
        <is>
          <t>GRÄSTORP</t>
        </is>
      </c>
      <c r="I7" t="n">
        <v>0.4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s="2" t="inlineStr"/>
    </row>
    <row r="8" ht="15" customHeight="1">
      <c r="A8" t="inlineStr">
        <is>
          <t>A 38064-2022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44811</v>
      </c>
      <c r="E8" s="1" t="n">
        <v>46326</v>
      </c>
      <c r="F8" t="inlineStr">
        <is>
          <t>VÄSTRA GÖTALANDS LÄN</t>
        </is>
      </c>
      <c r="G8" t="inlineStr">
        <is>
          <t>GRÄSTORP</t>
        </is>
      </c>
      <c r="I8" t="n">
        <v>1.5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s="2" t="inlineStr"/>
    </row>
    <row r="9" ht="15" customHeight="1">
      <c r="A9" t="inlineStr">
        <is>
          <t>A 60189-2024</t>
        </is>
      </c>
      <c r="B9" t="inlineStr">
        <is>
          <t>avverkningsanmälan</t>
        </is>
      </c>
      <c r="C9" t="inlineStr">
        <is>
          <t>Avverkning för annat ändamål</t>
        </is>
      </c>
      <c r="D9" s="1" t="n">
        <v>45640</v>
      </c>
      <c r="E9" s="1" t="n">
        <v>46326</v>
      </c>
      <c r="F9" t="inlineStr">
        <is>
          <t>VÄSTRA GÖTALANDS LÄN</t>
        </is>
      </c>
      <c r="G9" t="inlineStr">
        <is>
          <t>GRÄSTORP</t>
        </is>
      </c>
      <c r="I9" t="n">
        <v>1.4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s="2" t="inlineStr"/>
    </row>
    <row r="10" ht="15" customHeight="1">
      <c r="A10" t="inlineStr">
        <is>
          <t>A 25554-2025</t>
        </is>
      </c>
      <c r="B10" t="inlineStr">
        <is>
          <t>avverkningsanmälan</t>
        </is>
      </c>
      <c r="C10" t="inlineStr">
        <is>
          <t>Avverkning för att bevara och utveckla /försöksver</t>
        </is>
      </c>
      <c r="D10" s="1" t="n">
        <v>45803</v>
      </c>
      <c r="E10" s="1" t="n">
        <v>46326</v>
      </c>
      <c r="F10" t="inlineStr">
        <is>
          <t>VÄSTRA GÖTALANDS LÄN</t>
        </is>
      </c>
      <c r="G10" t="inlineStr">
        <is>
          <t>GRÄSTORP</t>
        </is>
      </c>
      <c r="H10" t="inlineStr">
        <is>
          <t>Sveaskog</t>
        </is>
      </c>
      <c r="I10" t="n">
        <v>6.5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s="2" t="inlineStr"/>
    </row>
    <row r="11" ht="15" customHeight="1">
      <c r="A11" t="inlineStr">
        <is>
          <t>A 25566-2025</t>
        </is>
      </c>
      <c r="B11" t="inlineStr">
        <is>
          <t>avverkningsanmälan</t>
        </is>
      </c>
      <c r="C11" t="inlineStr">
        <is>
          <t>Avverkning för att bevara och utveckla /försöksver</t>
        </is>
      </c>
      <c r="D11" s="1" t="n">
        <v>45803</v>
      </c>
      <c r="E11" s="1" t="n">
        <v>46326</v>
      </c>
      <c r="F11" t="inlineStr">
        <is>
          <t>VÄSTRA GÖTALANDS LÄN</t>
        </is>
      </c>
      <c r="G11" t="inlineStr">
        <is>
          <t>GRÄSTORP</t>
        </is>
      </c>
      <c r="H11" t="inlineStr">
        <is>
          <t>Sveaskog</t>
        </is>
      </c>
      <c r="I11" t="n">
        <v>3.3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s="2" t="inlineStr"/>
    </row>
    <row r="12" ht="15" customHeight="1">
      <c r="A12" t="inlineStr">
        <is>
          <t>A 35091-2024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45527</v>
      </c>
      <c r="E12" s="1" t="n">
        <v>46326</v>
      </c>
      <c r="F12" t="inlineStr">
        <is>
          <t>VÄSTRA GÖTALANDS LÄN</t>
        </is>
      </c>
      <c r="G12" t="inlineStr">
        <is>
          <t>GRÄSTORP</t>
        </is>
      </c>
      <c r="I12" t="n">
        <v>1.5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s="2" t="inlineStr"/>
    </row>
    <row r="13" ht="15" customHeight="1">
      <c r="A13" t="inlineStr">
        <is>
          <t>A 2633-2026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46037</v>
      </c>
      <c r="E13" s="1" t="n">
        <v>46326</v>
      </c>
      <c r="F13" t="inlineStr">
        <is>
          <t>VÄSTRA GÖTALANDS LÄN</t>
        </is>
      </c>
      <c r="G13" t="inlineStr">
        <is>
          <t>GRÄSTORP</t>
        </is>
      </c>
      <c r="I13" t="n">
        <v>2.8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s="2" t="inlineStr"/>
    </row>
    <row r="14" ht="15" customHeight="1">
      <c r="A14" t="inlineStr">
        <is>
          <t>A 2756-2026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46038</v>
      </c>
      <c r="E14" s="1" t="n">
        <v>46326</v>
      </c>
      <c r="F14" t="inlineStr">
        <is>
          <t>VÄSTRA GÖTALANDS LÄN</t>
        </is>
      </c>
      <c r="G14" t="inlineStr">
        <is>
          <t>GRÄSTORP</t>
        </is>
      </c>
      <c r="I14" t="n">
        <v>2.4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s="2" t="inlineStr"/>
    </row>
    <row r="15" ht="15" customHeight="1">
      <c r="A15" t="inlineStr">
        <is>
          <t>A 40126-2023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45169</v>
      </c>
      <c r="E15" s="1" t="n">
        <v>46326</v>
      </c>
      <c r="F15" t="inlineStr">
        <is>
          <t>VÄSTRA GÖTALANDS LÄN</t>
        </is>
      </c>
      <c r="G15" t="inlineStr">
        <is>
          <t>GRÄSTORP</t>
        </is>
      </c>
      <c r="I15" t="n">
        <v>2.5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s="2" t="inlineStr"/>
    </row>
    <row r="16" ht="15" customHeight="1">
      <c r="A16" t="inlineStr">
        <is>
          <t>A 48865-2024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45594</v>
      </c>
      <c r="E16" s="1" t="n">
        <v>46326</v>
      </c>
      <c r="F16" t="inlineStr">
        <is>
          <t>VÄSTRA GÖTALANDS LÄN</t>
        </is>
      </c>
      <c r="G16" t="inlineStr">
        <is>
          <t>GRÄSTORP</t>
        </is>
      </c>
      <c r="I16" t="n">
        <v>2.4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s="2" t="inlineStr"/>
    </row>
    <row r="17" ht="15" customHeight="1">
      <c r="A17" t="inlineStr">
        <is>
          <t>A 32665-2025</t>
        </is>
      </c>
      <c r="B17" t="inlineStr">
        <is>
          <t>avverkningsanmälan</t>
        </is>
      </c>
      <c r="C17" t="inlineStr">
        <is>
          <t>Avverkning för annat ändamål</t>
        </is>
      </c>
      <c r="D17" s="1" t="n">
        <v>45838</v>
      </c>
      <c r="E17" s="1" t="n">
        <v>46326</v>
      </c>
      <c r="F17" t="inlineStr">
        <is>
          <t>VÄSTRA GÖTALANDS LÄN</t>
        </is>
      </c>
      <c r="G17" t="inlineStr">
        <is>
          <t>GRÄSTORP</t>
        </is>
      </c>
      <c r="I17" t="n">
        <v>1.3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s="2" t="inlineStr"/>
    </row>
    <row r="18" ht="15" customHeight="1">
      <c r="A18" t="inlineStr">
        <is>
          <t>A 45408-2025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45922</v>
      </c>
      <c r="E18" s="1" t="n">
        <v>46326</v>
      </c>
      <c r="F18" t="inlineStr">
        <is>
          <t>VÄSTRA GÖTALANDS LÄN</t>
        </is>
      </c>
      <c r="G18" t="inlineStr">
        <is>
          <t>GRÄSTORP</t>
        </is>
      </c>
      <c r="I18" t="n">
        <v>1.7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s="2" t="inlineStr"/>
    </row>
    <row r="19" ht="15" customHeight="1">
      <c r="A19" t="inlineStr">
        <is>
          <t>A 48596-2023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45208</v>
      </c>
      <c r="E19" s="1" t="n">
        <v>46326</v>
      </c>
      <c r="F19" t="inlineStr">
        <is>
          <t>VÄSTRA GÖTALANDS LÄN</t>
        </is>
      </c>
      <c r="G19" t="inlineStr">
        <is>
          <t>GRÄSTORP</t>
        </is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s="2" t="inlineStr"/>
    </row>
    <row r="20" ht="15" customHeight="1">
      <c r="A20" t="inlineStr">
        <is>
          <t>A 24453-2025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45798</v>
      </c>
      <c r="E20" s="1" t="n">
        <v>46326</v>
      </c>
      <c r="F20" t="inlineStr">
        <is>
          <t>VÄSTRA GÖTALANDS LÄN</t>
        </is>
      </c>
      <c r="G20" t="inlineStr">
        <is>
          <t>GRÄSTORP</t>
        </is>
      </c>
      <c r="I20" t="n">
        <v>1.7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s="2" t="inlineStr"/>
    </row>
    <row r="21" ht="15" customHeight="1">
      <c r="A21" t="inlineStr">
        <is>
          <t>A 2263-2025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45673</v>
      </c>
      <c r="E21" s="1" t="n">
        <v>46326</v>
      </c>
      <c r="F21" t="inlineStr">
        <is>
          <t>VÄSTRA GÖTALANDS LÄN</t>
        </is>
      </c>
      <c r="G21" t="inlineStr">
        <is>
          <t>GRÄSTORP</t>
        </is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s="2" t="inlineStr"/>
    </row>
    <row r="22" ht="15" customHeight="1">
      <c r="A22" t="inlineStr">
        <is>
          <t>A 51534-2023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45222</v>
      </c>
      <c r="E22" s="1" t="n">
        <v>46326</v>
      </c>
      <c r="F22" t="inlineStr">
        <is>
          <t>VÄSTRA GÖTALANDS LÄN</t>
        </is>
      </c>
      <c r="G22" t="inlineStr">
        <is>
          <t>GRÄSTORP</t>
        </is>
      </c>
      <c r="I22" t="n">
        <v>3.3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2" t="inlineStr"/>
    </row>
    <row r="23" ht="15" customHeight="1">
      <c r="A23" t="inlineStr">
        <is>
          <t>A 43924-2022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44838</v>
      </c>
      <c r="E23" s="1" t="n">
        <v>46326</v>
      </c>
      <c r="F23" t="inlineStr">
        <is>
          <t>VÄSTRA GÖTALANDS LÄN</t>
        </is>
      </c>
      <c r="G23" t="inlineStr">
        <is>
          <t>GRÄSTORP</t>
        </is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2" t="inlineStr"/>
    </row>
    <row r="24" ht="15" customHeight="1">
      <c r="A24" t="inlineStr">
        <is>
          <t>A 12902-2026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46092</v>
      </c>
      <c r="E24" s="1" t="n">
        <v>46326</v>
      </c>
      <c r="F24" t="inlineStr">
        <is>
          <t>VÄSTRA GÖTALANDS LÄN</t>
        </is>
      </c>
      <c r="G24" t="inlineStr">
        <is>
          <t>GRÄSTORP</t>
        </is>
      </c>
      <c r="I24" t="n">
        <v>4.4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inlineStr"/>
    </row>
    <row r="25" ht="15" customHeight="1">
      <c r="A25" t="inlineStr">
        <is>
          <t>A 14103-2026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46099</v>
      </c>
      <c r="E25" s="1" t="n">
        <v>46326</v>
      </c>
      <c r="F25" t="inlineStr">
        <is>
          <t>VÄSTRA GÖTALANDS LÄN</t>
        </is>
      </c>
      <c r="G25" t="inlineStr">
        <is>
          <t>GRÄSTORP</t>
        </is>
      </c>
      <c r="I25" t="n">
        <v>6.3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  <row r="26" ht="15" customHeight="1">
      <c r="A26" t="inlineStr">
        <is>
          <t>A 19282-2024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45428</v>
      </c>
      <c r="E26" s="1" t="n">
        <v>46326</v>
      </c>
      <c r="F26" t="inlineStr">
        <is>
          <t>VÄSTRA GÖTALANDS LÄN</t>
        </is>
      </c>
      <c r="G26" t="inlineStr">
        <is>
          <t>GRÄSTORP</t>
        </is>
      </c>
      <c r="I26" t="n">
        <v>5.8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13718-2025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45737</v>
      </c>
      <c r="E27" s="1" t="n">
        <v>46326</v>
      </c>
      <c r="F27" t="inlineStr">
        <is>
          <t>VÄSTRA GÖTALANDS LÄN</t>
        </is>
      </c>
      <c r="G27" t="inlineStr">
        <is>
          <t>GRÄSTORP</t>
        </is>
      </c>
      <c r="H27" t="inlineStr">
        <is>
          <t>Kyrkan</t>
        </is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16496-2026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46112</v>
      </c>
      <c r="E28" s="1" t="n">
        <v>46326</v>
      </c>
      <c r="F28" t="inlineStr">
        <is>
          <t>VÄSTRA GÖTALANDS LÄN</t>
        </is>
      </c>
      <c r="G28" t="inlineStr">
        <is>
          <t>GRÄSTORP</t>
        </is>
      </c>
      <c r="I28" t="n">
        <v>1.9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20198-2023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45055</v>
      </c>
      <c r="E29" s="1" t="n">
        <v>46326</v>
      </c>
      <c r="F29" t="inlineStr">
        <is>
          <t>VÄSTRA GÖTALANDS LÄN</t>
        </is>
      </c>
      <c r="G29" t="inlineStr">
        <is>
          <t>GRÄSTORP</t>
        </is>
      </c>
      <c r="I29" t="n">
        <v>1.6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22167-2024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45446</v>
      </c>
      <c r="E30" s="1" t="n">
        <v>46326</v>
      </c>
      <c r="F30" t="inlineStr">
        <is>
          <t>VÄSTRA GÖTALANDS LÄN</t>
        </is>
      </c>
      <c r="G30" t="inlineStr">
        <is>
          <t>GRÄSTORP</t>
        </is>
      </c>
      <c r="I30" t="n">
        <v>0.4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19766-2026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46135</v>
      </c>
      <c r="E31" s="1" t="n">
        <v>46326</v>
      </c>
      <c r="F31" t="inlineStr">
        <is>
          <t>VÄSTRA GÖTALANDS LÄN</t>
        </is>
      </c>
      <c r="G31" t="inlineStr">
        <is>
          <t>GRÄSTORP</t>
        </is>
      </c>
      <c r="I31" t="n">
        <v>1.9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16172-2024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45406</v>
      </c>
      <c r="E32" s="1" t="n">
        <v>46326</v>
      </c>
      <c r="F32" t="inlineStr">
        <is>
          <t>VÄSTRA GÖTALANDS LÄN</t>
        </is>
      </c>
      <c r="G32" t="inlineStr">
        <is>
          <t>GRÄSTORP</t>
        </is>
      </c>
      <c r="I32" t="n">
        <v>1.1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17666-2022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44680</v>
      </c>
      <c r="E33" s="1" t="n">
        <v>46326</v>
      </c>
      <c r="F33" t="inlineStr">
        <is>
          <t>VÄSTRA GÖTALANDS LÄN</t>
        </is>
      </c>
      <c r="G33" t="inlineStr">
        <is>
          <t>GRÄSTORP</t>
        </is>
      </c>
      <c r="I33" t="n">
        <v>1.6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20041-2026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46136</v>
      </c>
      <c r="E34" s="1" t="n">
        <v>46326</v>
      </c>
      <c r="F34" t="inlineStr">
        <is>
          <t>VÄSTRA GÖTALANDS LÄN</t>
        </is>
      </c>
      <c r="G34" t="inlineStr">
        <is>
          <t>GRÄSTORP</t>
        </is>
      </c>
      <c r="I34" t="n">
        <v>0.6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16011-2023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45026</v>
      </c>
      <c r="E35" s="1" t="n">
        <v>46326</v>
      </c>
      <c r="F35" t="inlineStr">
        <is>
          <t>VÄSTRA GÖTALANDS LÄN</t>
        </is>
      </c>
      <c r="G35" t="inlineStr">
        <is>
          <t>GRÄSTORP</t>
        </is>
      </c>
      <c r="I35" t="n">
        <v>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53943-2024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45616</v>
      </c>
      <c r="E36" s="1" t="n">
        <v>46326</v>
      </c>
      <c r="F36" t="inlineStr">
        <is>
          <t>VÄSTRA GÖTALANDS LÄN</t>
        </is>
      </c>
      <c r="G36" t="inlineStr">
        <is>
          <t>GRÄSTORP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26859-2025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45810</v>
      </c>
      <c r="E37" s="1" t="n">
        <v>46326</v>
      </c>
      <c r="F37" t="inlineStr">
        <is>
          <t>VÄSTRA GÖTALANDS LÄN</t>
        </is>
      </c>
      <c r="G37" t="inlineStr">
        <is>
          <t>GRÄSTORP</t>
        </is>
      </c>
      <c r="I37" t="n">
        <v>2.2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20039-2026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46136</v>
      </c>
      <c r="E38" s="1" t="n">
        <v>46326</v>
      </c>
      <c r="F38" t="inlineStr">
        <is>
          <t>VÄSTRA GÖTALANDS LÄN</t>
        </is>
      </c>
      <c r="G38" t="inlineStr">
        <is>
          <t>GRÄSTORP</t>
        </is>
      </c>
      <c r="I38" t="n">
        <v>0.6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21711-2026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46149</v>
      </c>
      <c r="E39" s="1" t="n">
        <v>46326</v>
      </c>
      <c r="F39" t="inlineStr">
        <is>
          <t>VÄSTRA GÖTALANDS LÄN</t>
        </is>
      </c>
      <c r="G39" t="inlineStr">
        <is>
          <t>GRÄSTORP</t>
        </is>
      </c>
      <c r="I39" t="n">
        <v>0.7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2264-2025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45673</v>
      </c>
      <c r="E40" s="1" t="n">
        <v>46326</v>
      </c>
      <c r="F40" t="inlineStr">
        <is>
          <t>VÄSTRA GÖTALANDS LÄN</t>
        </is>
      </c>
      <c r="G40" t="inlineStr">
        <is>
          <t>GRÄSTORP</t>
        </is>
      </c>
      <c r="I40" t="n">
        <v>0.4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60236-2024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45642</v>
      </c>
      <c r="E41" s="1" t="n">
        <v>46326</v>
      </c>
      <c r="F41" t="inlineStr">
        <is>
          <t>VÄSTRA GÖTALANDS LÄN</t>
        </is>
      </c>
      <c r="G41" t="inlineStr">
        <is>
          <t>GRÄSTORP</t>
        </is>
      </c>
      <c r="I41" t="n">
        <v>1.2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18724-2026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46128</v>
      </c>
      <c r="E42" s="1" t="n">
        <v>46326</v>
      </c>
      <c r="F42" t="inlineStr">
        <is>
          <t>VÄSTRA GÖTALANDS LÄN</t>
        </is>
      </c>
      <c r="G42" t="inlineStr">
        <is>
          <t>GRÄSTORP</t>
        </is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22914-2026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46160</v>
      </c>
      <c r="E43" s="1" t="n">
        <v>46326</v>
      </c>
      <c r="F43" t="inlineStr">
        <is>
          <t>VÄSTRA GÖTALANDS LÄN</t>
        </is>
      </c>
      <c r="G43" t="inlineStr">
        <is>
          <t>GRÄSTORP</t>
        </is>
      </c>
      <c r="I43" t="n">
        <v>2.5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11345-2024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45372</v>
      </c>
      <c r="E44" s="1" t="n">
        <v>46326</v>
      </c>
      <c r="F44" t="inlineStr">
        <is>
          <t>VÄSTRA GÖTALANDS LÄN</t>
        </is>
      </c>
      <c r="G44" t="inlineStr">
        <is>
          <t>GRÄSTORP</t>
        </is>
      </c>
      <c r="I44" t="n">
        <v>2.5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59569-2022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44907</v>
      </c>
      <c r="E45" s="1" t="n">
        <v>46326</v>
      </c>
      <c r="F45" t="inlineStr">
        <is>
          <t>VÄSTRA GÖTALANDS LÄN</t>
        </is>
      </c>
      <c r="G45" t="inlineStr">
        <is>
          <t>GRÄSTORP</t>
        </is>
      </c>
      <c r="I45" t="n">
        <v>2.1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31073-2022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44769</v>
      </c>
      <c r="E46" s="1" t="n">
        <v>46326</v>
      </c>
      <c r="F46" t="inlineStr">
        <is>
          <t>VÄSTRA GÖTALANDS LÄN</t>
        </is>
      </c>
      <c r="G46" t="inlineStr">
        <is>
          <t>GRÄSTORP</t>
        </is>
      </c>
      <c r="I46" t="n">
        <v>1.1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25293-2026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46176</v>
      </c>
      <c r="E47" s="1" t="n">
        <v>46326</v>
      </c>
      <c r="F47" t="inlineStr">
        <is>
          <t>VÄSTRA GÖTALANDS LÄN</t>
        </is>
      </c>
      <c r="G47" t="inlineStr">
        <is>
          <t>GRÄSTORP</t>
        </is>
      </c>
      <c r="I47" t="n">
        <v>8.300000000000001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26943-2026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46185</v>
      </c>
      <c r="E48" s="1" t="n">
        <v>46326</v>
      </c>
      <c r="F48" t="inlineStr">
        <is>
          <t>VÄSTRA GÖTALANDS LÄN</t>
        </is>
      </c>
      <c r="G48" t="inlineStr">
        <is>
          <t>GRÄSTORP</t>
        </is>
      </c>
      <c r="I48" t="n">
        <v>2.5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28065-2026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46195</v>
      </c>
      <c r="E49" s="1" t="n">
        <v>46326</v>
      </c>
      <c r="F49" t="inlineStr">
        <is>
          <t>VÄSTRA GÖTALANDS LÄN</t>
        </is>
      </c>
      <c r="G49" t="inlineStr">
        <is>
          <t>GRÄSTORP</t>
        </is>
      </c>
      <c r="I49" t="n">
        <v>3.6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47573-2024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45587</v>
      </c>
      <c r="E50" s="1" t="n">
        <v>46326</v>
      </c>
      <c r="F50" t="inlineStr">
        <is>
          <t>VÄSTRA GÖTALANDS LÄN</t>
        </is>
      </c>
      <c r="G50" t="inlineStr">
        <is>
          <t>GRÄSTORP</t>
        </is>
      </c>
      <c r="I50" t="n">
        <v>5.9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35394-2023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45146</v>
      </c>
      <c r="E51" s="1" t="n">
        <v>46326</v>
      </c>
      <c r="F51" t="inlineStr">
        <is>
          <t>VÄSTRA GÖTALANDS LÄN</t>
        </is>
      </c>
      <c r="G51" t="inlineStr">
        <is>
          <t>GRÄSTORP</t>
        </is>
      </c>
      <c r="I51" t="n">
        <v>2.5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29440-2026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46203</v>
      </c>
      <c r="E52" s="1" t="n">
        <v>46326</v>
      </c>
      <c r="F52" t="inlineStr">
        <is>
          <t>VÄSTRA GÖTALANDS LÄN</t>
        </is>
      </c>
      <c r="G52" t="inlineStr">
        <is>
          <t>GRÄSTORP</t>
        </is>
      </c>
      <c r="I52" t="n">
        <v>1.5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24985-2023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45085</v>
      </c>
      <c r="E53" s="1" t="n">
        <v>46326</v>
      </c>
      <c r="F53" t="inlineStr">
        <is>
          <t>VÄSTRA GÖTALANDS LÄN</t>
        </is>
      </c>
      <c r="G53" t="inlineStr">
        <is>
          <t>GRÄSTORP</t>
        </is>
      </c>
      <c r="I53" t="n">
        <v>7.4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59311-2024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45637</v>
      </c>
      <c r="E54" s="1" t="n">
        <v>46326</v>
      </c>
      <c r="F54" t="inlineStr">
        <is>
          <t>VÄSTRA GÖTALANDS LÄN</t>
        </is>
      </c>
      <c r="G54" t="inlineStr">
        <is>
          <t>GRÄSTORP</t>
        </is>
      </c>
      <c r="I54" t="n">
        <v>0.3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8650-2025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45712</v>
      </c>
      <c r="E55" s="1" t="n">
        <v>46326</v>
      </c>
      <c r="F55" t="inlineStr">
        <is>
          <t>VÄSTRA GÖTALANDS LÄN</t>
        </is>
      </c>
      <c r="G55" t="inlineStr">
        <is>
          <t>GRÄSTORP</t>
        </is>
      </c>
      <c r="I55" t="n">
        <v>0.9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32415-2026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46238</v>
      </c>
      <c r="E56" s="1" t="n">
        <v>46326</v>
      </c>
      <c r="F56" t="inlineStr">
        <is>
          <t>VÄSTRA GÖTALANDS LÄN</t>
        </is>
      </c>
      <c r="G56" t="inlineStr">
        <is>
          <t>GRÄSTORP</t>
        </is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11171-2025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45724</v>
      </c>
      <c r="E57" s="1" t="n">
        <v>46326</v>
      </c>
      <c r="F57" t="inlineStr">
        <is>
          <t>VÄSTRA GÖTALANDS LÄN</t>
        </is>
      </c>
      <c r="G57" t="inlineStr">
        <is>
          <t>GRÄSTORP</t>
        </is>
      </c>
      <c r="I57" t="n">
        <v>1.3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49621-2022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44862</v>
      </c>
      <c r="E58" s="1" t="n">
        <v>46326</v>
      </c>
      <c r="F58" t="inlineStr">
        <is>
          <t>VÄSTRA GÖTALANDS LÄN</t>
        </is>
      </c>
      <c r="G58" t="inlineStr">
        <is>
          <t>GRÄSTORP</t>
        </is>
      </c>
      <c r="I58" t="n">
        <v>4.9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33535-2026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46248</v>
      </c>
      <c r="E59" s="1" t="n">
        <v>46326</v>
      </c>
      <c r="F59" t="inlineStr">
        <is>
          <t>VÄSTRA GÖTALANDS LÄN</t>
        </is>
      </c>
      <c r="G59" t="inlineStr">
        <is>
          <t>GRÄSTORP</t>
        </is>
      </c>
      <c r="I59" t="n">
        <v>4.3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33531-2026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46248</v>
      </c>
      <c r="E60" s="1" t="n">
        <v>46326</v>
      </c>
      <c r="F60" t="inlineStr">
        <is>
          <t>VÄSTRA GÖTALANDS LÄN</t>
        </is>
      </c>
      <c r="G60" t="inlineStr">
        <is>
          <t>GRÄSTORP</t>
        </is>
      </c>
      <c r="I60" t="n">
        <v>7.6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42428-2026</t>
        </is>
      </c>
      <c r="B61" t="inlineStr">
        <is>
          <t>avverkningsanmälan</t>
        </is>
      </c>
      <c r="C61" t="inlineStr">
        <is>
          <t>Avverkning för annat ändamål</t>
        </is>
      </c>
      <c r="D61" s="1" t="n">
        <v>46308</v>
      </c>
      <c r="E61" s="1" t="n">
        <v>46326</v>
      </c>
      <c r="F61" t="inlineStr">
        <is>
          <t>VÄSTRA GÖTALANDS LÄN</t>
        </is>
      </c>
      <c r="G61" t="inlineStr">
        <is>
          <t>GRÄSTORP</t>
        </is>
      </c>
      <c r="I61" t="n">
        <v>3.1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35977-2026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46266</v>
      </c>
      <c r="E62" s="1" t="n">
        <v>46326</v>
      </c>
      <c r="F62" t="inlineStr">
        <is>
          <t>VÄSTRA GÖTALANDS LÄN</t>
        </is>
      </c>
      <c r="G62" t="inlineStr">
        <is>
          <t>GRÄSTORP</t>
        </is>
      </c>
      <c r="I62" t="n">
        <v>2.3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S 2400-2022</t>
        </is>
      </c>
      <c r="B63" t="inlineStr">
        <is>
          <t>samrådsanmälan</t>
        </is>
      </c>
      <c r="C63" t="inlineStr">
        <is>
          <t>Åtgärd i nyckelbiotop</t>
        </is>
      </c>
      <c r="D63" s="1" t="n">
        <v>44690</v>
      </c>
      <c r="E63" s="1" t="n">
        <v>46326</v>
      </c>
      <c r="F63" t="inlineStr">
        <is>
          <t>VÄSTRA GÖTALANDS LÄN</t>
        </is>
      </c>
      <c r="G63" t="inlineStr">
        <is>
          <t>GRÄSTORP</t>
        </is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S 1654-2025</t>
        </is>
      </c>
      <c r="B64" t="inlineStr">
        <is>
          <t>samrådsanmälan</t>
        </is>
      </c>
      <c r="C64" t="inlineStr">
        <is>
          <t>Annan skogsbruksåtgärd</t>
        </is>
      </c>
      <c r="D64" s="1" t="n">
        <v>45803</v>
      </c>
      <c r="E64" s="1" t="n">
        <v>46326</v>
      </c>
      <c r="F64" t="inlineStr">
        <is>
          <t>VÄSTRA GÖTALANDS LÄN</t>
        </is>
      </c>
      <c r="G64" t="inlineStr">
        <is>
          <t>GRÄSTORP</t>
        </is>
      </c>
      <c r="H64" t="inlineStr">
        <is>
          <t>Sveaskog</t>
        </is>
      </c>
      <c r="I64" t="n">
        <v>6.5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>
      <c r="A65" t="inlineStr">
        <is>
          <t>S 1657-2025</t>
        </is>
      </c>
      <c r="B65" t="inlineStr">
        <is>
          <t>samrådsanmälan</t>
        </is>
      </c>
      <c r="C65" t="inlineStr">
        <is>
          <t>Annan skogsbruksåtgärd</t>
        </is>
      </c>
      <c r="D65" s="1" t="n">
        <v>45803</v>
      </c>
      <c r="E65" s="1" t="n">
        <v>46326</v>
      </c>
      <c r="F65" t="inlineStr">
        <is>
          <t>VÄSTRA GÖTALANDS LÄN</t>
        </is>
      </c>
      <c r="G65" t="inlineStr">
        <is>
          <t>GRÄSTORP</t>
        </is>
      </c>
      <c r="H65" t="inlineStr">
        <is>
          <t>Sveaskog</t>
        </is>
      </c>
      <c r="I65" t="n">
        <v>3.3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2026-10-31T03:26:17Z</dcterms:created>
  <dcterms:modified xmlns:dcterms="http://purl.org/dc/terms/" xmlns:xsi="http://www.w3.org/2001/XMLSchema-instance" xsi:type="dcterms:W3CDTF">2026-10-31T03:26:17Z</dcterms:modified>
</cp:coreProperties>
</file>