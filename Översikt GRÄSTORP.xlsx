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E65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Typ</t>
        </is>
      </c>
      <c r="C1" t="inlineStr">
        <is>
          <t>Åtgärd</t>
        </is>
      </c>
      <c r="D1" t="inlineStr">
        <is>
          <t>Datum</t>
        </is>
      </c>
      <c r="E1" t="inlineStr">
        <is>
          <t>Förändrad</t>
        </is>
      </c>
      <c r="F1" t="inlineStr">
        <is>
          <t>Län</t>
        </is>
      </c>
      <c r="G1" t="inlineStr">
        <is>
          <t>Kommun</t>
        </is>
      </c>
      <c r="H1" t="inlineStr">
        <is>
          <t>Markägare</t>
        </is>
      </c>
      <c r="I1" t="inlineStr">
        <is>
          <t>Area (ha)</t>
        </is>
      </c>
      <c r="J1" t="inlineStr">
        <is>
          <t>Fridlysta</t>
        </is>
      </c>
      <c r="K1" t="inlineStr">
        <is>
          <t>Signalarter</t>
        </is>
      </c>
      <c r="L1" t="inlineStr">
        <is>
          <t>NT</t>
        </is>
      </c>
      <c r="M1" t="inlineStr">
        <is>
          <t>VU</t>
        </is>
      </c>
      <c r="N1" t="inlineStr">
        <is>
          <t>EN</t>
        </is>
      </c>
      <c r="O1" t="inlineStr">
        <is>
          <t>CR</t>
        </is>
      </c>
      <c r="P1" t="inlineStr">
        <is>
          <t>RE</t>
        </is>
      </c>
      <c r="Q1" t="inlineStr">
        <is>
          <t>Rödlistade</t>
        </is>
      </c>
      <c r="R1" t="inlineStr">
        <is>
          <t>Hotade</t>
        </is>
      </c>
      <c r="S1" t="inlineStr">
        <is>
          <t>Alla arter</t>
        </is>
      </c>
      <c r="T1" t="inlineStr">
        <is>
          <t>Fynd</t>
        </is>
      </c>
      <c r="U1" t="inlineStr">
        <is>
          <t>Nya fynd</t>
        </is>
      </c>
      <c r="V1" t="inlineStr">
        <is>
          <t>Artnamn</t>
        </is>
      </c>
      <c r="W1" t="inlineStr">
        <is>
          <t>Artfyndslänk</t>
        </is>
      </c>
      <c r="X1" t="inlineStr">
        <is>
          <t>Kartlänk</t>
        </is>
      </c>
      <c r="Y1" t="inlineStr">
        <is>
          <t>Geotifflänk</t>
        </is>
      </c>
      <c r="Z1" t="inlineStr">
        <is>
          <t>Knärotsbuffertlänk</t>
        </is>
      </c>
      <c r="AA1" t="inlineStr">
        <is>
          <t>Klagomålslänk</t>
        </is>
      </c>
      <c r="AB1" t="inlineStr">
        <is>
          <t>Klagomålsmaillänk</t>
        </is>
      </c>
      <c r="AC1" t="inlineStr">
        <is>
          <t>Tillsynsbegäranslänk</t>
        </is>
      </c>
      <c r="AD1" t="inlineStr">
        <is>
          <t>Tillsynsbegäransmaillänk</t>
        </is>
      </c>
      <c r="AE1" t="inlineStr">
        <is>
          <t>Fågeltillsynsbegäranslänk</t>
        </is>
      </c>
    </row>
    <row r="2" ht="15" customHeight="1">
      <c r="A2" t="inlineStr">
        <is>
          <t>A 31076-2022</t>
        </is>
      </c>
      <c r="B2" t="inlineStr">
        <is>
          <t>avverkningsanmälan</t>
        </is>
      </c>
      <c r="C2" t="inlineStr">
        <is>
          <t>Föryngringsavverkning</t>
        </is>
      </c>
      <c r="D2" s="1" t="n">
        <v>44769</v>
      </c>
      <c r="E2" s="1" t="n">
        <v>46317</v>
      </c>
      <c r="F2" t="inlineStr">
        <is>
          <t>VÄSTRA GÖTALANDS LÄN</t>
        </is>
      </c>
      <c r="G2" t="inlineStr">
        <is>
          <t>GRÄSTORP</t>
        </is>
      </c>
      <c r="I2" t="n">
        <v>0.5</v>
      </c>
      <c r="J2" t="n">
        <v>1</v>
      </c>
      <c r="K2" t="n">
        <v>0</v>
      </c>
      <c r="L2" t="n">
        <v>0</v>
      </c>
      <c r="M2" t="n">
        <v>0</v>
      </c>
      <c r="N2" t="n">
        <v>0</v>
      </c>
      <c r="O2" t="n">
        <v>0</v>
      </c>
      <c r="P2" t="n">
        <v>0</v>
      </c>
      <c r="Q2" t="n">
        <v>0</v>
      </c>
      <c r="R2" t="n">
        <v>0</v>
      </c>
      <c r="S2" t="n">
        <v>1</v>
      </c>
      <c r="T2" t="n">
        <v>1</v>
      </c>
      <c r="U2" t="n">
        <v>0</v>
      </c>
      <c r="V2" s="2" t="inlineStr">
        <is>
          <t>Trädlärka</t>
        </is>
      </c>
      <c r="W2">
        <f>HYPERLINK("https://klasma.github.io/Logging_1444/artfynd/A 31076-2022 artfynd.xlsx", "A 31076-2022")</f>
        <v/>
      </c>
      <c r="X2">
        <f>HYPERLINK("https://klasma.github.io/Logging_1444/kartor/A 31076-2022 karta.png", "A 31076-2022")</f>
        <v/>
      </c>
      <c r="Y2">
        <f>HYPERLINK("https://klasma.github.io/Logging_1444/kartor_geotiff/A 31076-2022 georefererad karta.tif", "A 31076-2022")</f>
        <v/>
      </c>
      <c r="AA2">
        <f>HYPERLINK("https://klasma.github.io/Logging_1444/klagomål/A 31076-2022 FSC-klagomål.docx", "A 31076-2022")</f>
        <v/>
      </c>
      <c r="AB2">
        <f>HYPERLINK("https://klasma.github.io/Logging_1444/klagomålsmail/A 31076-2022 FSC-klagomål mail.docx", "A 31076-2022")</f>
        <v/>
      </c>
      <c r="AC2">
        <f>HYPERLINK("https://klasma.github.io/Logging_1444/tillsyn/A 31076-2022 tillsynsbegäran.docx", "A 31076-2022")</f>
        <v/>
      </c>
      <c r="AD2">
        <f>HYPERLINK("https://klasma.github.io/Logging_1444/tillsynsmail/A 31076-2022 tillsynsbegäran mail.docx", "A 31076-2022")</f>
        <v/>
      </c>
      <c r="AE2">
        <f>HYPERLINK("https://klasma.github.io/Logging_1444/fåglar/A 31076-2022 prioriterade fågelarter.docx", "A 31076-2022")</f>
        <v/>
      </c>
    </row>
    <row r="3" ht="15" customHeight="1">
      <c r="A3" t="inlineStr">
        <is>
          <t>A 44601-2022</t>
        </is>
      </c>
      <c r="B3" t="inlineStr">
        <is>
          <t>avverkningsanmälan</t>
        </is>
      </c>
      <c r="C3" t="inlineStr">
        <is>
          <t>Föryngringsavverkning</t>
        </is>
      </c>
      <c r="D3" s="1" t="n">
        <v>44840</v>
      </c>
      <c r="E3" s="1" t="n">
        <v>46317</v>
      </c>
      <c r="F3" t="inlineStr">
        <is>
          <t>VÄSTRA GÖTALANDS LÄN</t>
        </is>
      </c>
      <c r="G3" t="inlineStr">
        <is>
          <t>GRÄSTORP</t>
        </is>
      </c>
      <c r="I3" t="n">
        <v>0.8</v>
      </c>
      <c r="J3" t="n">
        <v>0</v>
      </c>
      <c r="K3" t="n">
        <v>0</v>
      </c>
      <c r="L3" t="n">
        <v>0</v>
      </c>
      <c r="M3" t="n">
        <v>0</v>
      </c>
      <c r="N3" t="n">
        <v>0</v>
      </c>
      <c r="O3" t="n">
        <v>0</v>
      </c>
      <c r="P3" t="n">
        <v>0</v>
      </c>
      <c r="Q3" t="n">
        <v>0</v>
      </c>
      <c r="R3" t="n">
        <v>0</v>
      </c>
      <c r="S3" t="n">
        <v>0</v>
      </c>
      <c r="T3" t="n">
        <v>0</v>
      </c>
      <c r="U3" t="n">
        <v>0</v>
      </c>
      <c r="V3" s="2" t="inlineStr"/>
    </row>
    <row r="4" ht="15" customHeight="1">
      <c r="A4" t="inlineStr">
        <is>
          <t>A 37214-2022</t>
        </is>
      </c>
      <c r="B4" t="inlineStr">
        <is>
          <t>avverkningsanmälan</t>
        </is>
      </c>
      <c r="C4" t="inlineStr">
        <is>
          <t>Föryngringsavverkning</t>
        </is>
      </c>
      <c r="D4" s="1" t="n">
        <v>44806</v>
      </c>
      <c r="E4" s="1" t="n">
        <v>46317</v>
      </c>
      <c r="F4" t="inlineStr">
        <is>
          <t>VÄSTRA GÖTALANDS LÄN</t>
        </is>
      </c>
      <c r="G4" t="inlineStr">
        <is>
          <t>GRÄSTORP</t>
        </is>
      </c>
      <c r="I4" t="n">
        <v>4.8</v>
      </c>
      <c r="J4" t="n">
        <v>0</v>
      </c>
      <c r="K4" t="n">
        <v>0</v>
      </c>
      <c r="L4" t="n">
        <v>0</v>
      </c>
      <c r="M4" t="n">
        <v>0</v>
      </c>
      <c r="N4" t="n">
        <v>0</v>
      </c>
      <c r="O4" t="n">
        <v>0</v>
      </c>
      <c r="P4" t="n">
        <v>0</v>
      </c>
      <c r="Q4" t="n">
        <v>0</v>
      </c>
      <c r="R4" t="n">
        <v>0</v>
      </c>
      <c r="S4" t="n">
        <v>0</v>
      </c>
      <c r="T4" t="n">
        <v>0</v>
      </c>
      <c r="U4" t="n">
        <v>0</v>
      </c>
      <c r="V4" s="2" t="inlineStr"/>
    </row>
    <row r="5" ht="15" customHeight="1">
      <c r="A5" t="inlineStr">
        <is>
          <t>A 8183-2022</t>
        </is>
      </c>
      <c r="B5" t="inlineStr">
        <is>
          <t>avverkningsanmälan</t>
        </is>
      </c>
      <c r="C5" t="inlineStr">
        <is>
          <t>Föryngringsavverkning</t>
        </is>
      </c>
      <c r="D5" s="1" t="n">
        <v>44609</v>
      </c>
      <c r="E5" s="1" t="n">
        <v>46317</v>
      </c>
      <c r="F5" t="inlineStr">
        <is>
          <t>VÄSTRA GÖTALANDS LÄN</t>
        </is>
      </c>
      <c r="G5" t="inlineStr">
        <is>
          <t>GRÄSTORP</t>
        </is>
      </c>
      <c r="I5" t="n">
        <v>0</v>
      </c>
      <c r="J5" t="n">
        <v>0</v>
      </c>
      <c r="K5" t="n">
        <v>0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0</v>
      </c>
      <c r="R5" t="n">
        <v>0</v>
      </c>
      <c r="S5" t="n">
        <v>0</v>
      </c>
      <c r="T5" t="n">
        <v>0</v>
      </c>
      <c r="U5" t="n">
        <v>0</v>
      </c>
      <c r="V5" s="2" t="inlineStr"/>
    </row>
    <row r="6" ht="15" customHeight="1">
      <c r="A6" t="inlineStr">
        <is>
          <t>A 42169-2022</t>
        </is>
      </c>
      <c r="B6" t="inlineStr">
        <is>
          <t>avverkningsanmälan</t>
        </is>
      </c>
      <c r="C6" t="inlineStr">
        <is>
          <t>Föryngringsavverkning</t>
        </is>
      </c>
      <c r="D6" s="1" t="n">
        <v>44830</v>
      </c>
      <c r="E6" s="1" t="n">
        <v>46317</v>
      </c>
      <c r="F6" t="inlineStr">
        <is>
          <t>VÄSTRA GÖTALANDS LÄN</t>
        </is>
      </c>
      <c r="G6" t="inlineStr">
        <is>
          <t>GRÄSTORP</t>
        </is>
      </c>
      <c r="I6" t="n">
        <v>0.8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0</v>
      </c>
      <c r="R6" t="n">
        <v>0</v>
      </c>
      <c r="S6" t="n">
        <v>0</v>
      </c>
      <c r="T6" t="n">
        <v>0</v>
      </c>
      <c r="U6" t="n">
        <v>0</v>
      </c>
      <c r="V6" s="2" t="inlineStr"/>
    </row>
    <row r="7" ht="15" customHeight="1">
      <c r="A7" t="inlineStr">
        <is>
          <t>A 49273-2022</t>
        </is>
      </c>
      <c r="B7" t="inlineStr">
        <is>
          <t>avverkningsanmälan</t>
        </is>
      </c>
      <c r="C7" t="inlineStr">
        <is>
          <t>Föryngringsavverkning</t>
        </is>
      </c>
      <c r="D7" s="1" t="n">
        <v>44861</v>
      </c>
      <c r="E7" s="1" t="n">
        <v>46317</v>
      </c>
      <c r="F7" t="inlineStr">
        <is>
          <t>VÄSTRA GÖTALANDS LÄN</t>
        </is>
      </c>
      <c r="G7" t="inlineStr">
        <is>
          <t>GRÄSTORP</t>
        </is>
      </c>
      <c r="I7" t="n">
        <v>0.4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0</v>
      </c>
      <c r="R7" t="n">
        <v>0</v>
      </c>
      <c r="S7" t="n">
        <v>0</v>
      </c>
      <c r="T7" t="n">
        <v>0</v>
      </c>
      <c r="U7" t="n">
        <v>0</v>
      </c>
      <c r="V7" s="2" t="inlineStr"/>
    </row>
    <row r="8" ht="15" customHeight="1">
      <c r="A8" t="inlineStr">
        <is>
          <t>A 38064-2022</t>
        </is>
      </c>
      <c r="B8" t="inlineStr">
        <is>
          <t>avverkningsanmälan</t>
        </is>
      </c>
      <c r="C8" t="inlineStr">
        <is>
          <t>Föryngringsavverkning</t>
        </is>
      </c>
      <c r="D8" s="1" t="n">
        <v>44811</v>
      </c>
      <c r="E8" s="1" t="n">
        <v>46317</v>
      </c>
      <c r="F8" t="inlineStr">
        <is>
          <t>VÄSTRA GÖTALANDS LÄN</t>
        </is>
      </c>
      <c r="G8" t="inlineStr">
        <is>
          <t>GRÄSTORP</t>
        </is>
      </c>
      <c r="I8" t="n">
        <v>1.5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0</v>
      </c>
      <c r="R8" t="n">
        <v>0</v>
      </c>
      <c r="S8" t="n">
        <v>0</v>
      </c>
      <c r="T8" t="n">
        <v>0</v>
      </c>
      <c r="U8" t="n">
        <v>0</v>
      </c>
      <c r="V8" s="2" t="inlineStr"/>
    </row>
    <row r="9" ht="15" customHeight="1">
      <c r="A9" t="inlineStr">
        <is>
          <t>A 48596-2023</t>
        </is>
      </c>
      <c r="B9" t="inlineStr">
        <is>
          <t>avverkningsanmälan</t>
        </is>
      </c>
      <c r="C9" t="inlineStr">
        <is>
          <t>Föryngringsavverkning</t>
        </is>
      </c>
      <c r="D9" s="1" t="n">
        <v>45208</v>
      </c>
      <c r="E9" s="1" t="n">
        <v>46317</v>
      </c>
      <c r="F9" t="inlineStr">
        <is>
          <t>VÄSTRA GÖTALANDS LÄN</t>
        </is>
      </c>
      <c r="G9" t="inlineStr">
        <is>
          <t>GRÄSTORP</t>
        </is>
      </c>
      <c r="I9" t="n">
        <v>1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0</v>
      </c>
      <c r="R9" t="n">
        <v>0</v>
      </c>
      <c r="S9" t="n">
        <v>0</v>
      </c>
      <c r="T9" t="n">
        <v>0</v>
      </c>
      <c r="U9" t="n">
        <v>0</v>
      </c>
      <c r="V9" s="2" t="inlineStr"/>
    </row>
    <row r="10" ht="15" customHeight="1">
      <c r="A10" t="inlineStr">
        <is>
          <t>A 22167-2024</t>
        </is>
      </c>
      <c r="B10" t="inlineStr">
        <is>
          <t>avverkningsanmälan</t>
        </is>
      </c>
      <c r="C10" t="inlineStr">
        <is>
          <t>Föryngringsavverkning</t>
        </is>
      </c>
      <c r="D10" s="1" t="n">
        <v>45446</v>
      </c>
      <c r="E10" s="1" t="n">
        <v>46317</v>
      </c>
      <c r="F10" t="inlineStr">
        <is>
          <t>VÄSTRA GÖTALANDS LÄN</t>
        </is>
      </c>
      <c r="G10" t="inlineStr">
        <is>
          <t>GRÄSTORP</t>
        </is>
      </c>
      <c r="I10" t="n">
        <v>0.4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0</v>
      </c>
      <c r="R10" t="n">
        <v>0</v>
      </c>
      <c r="S10" t="n">
        <v>0</v>
      </c>
      <c r="T10" t="n">
        <v>0</v>
      </c>
      <c r="U10" t="n">
        <v>0</v>
      </c>
      <c r="V10" s="2" t="inlineStr"/>
    </row>
    <row r="11" ht="15" customHeight="1">
      <c r="A11" t="inlineStr">
        <is>
          <t>A 49621-2022</t>
        </is>
      </c>
      <c r="B11" t="inlineStr">
        <is>
          <t>avverkningsanmälan</t>
        </is>
      </c>
      <c r="C11" t="inlineStr">
        <is>
          <t>Föryngringsavverkning</t>
        </is>
      </c>
      <c r="D11" s="1" t="n">
        <v>44862</v>
      </c>
      <c r="E11" s="1" t="n">
        <v>46317</v>
      </c>
      <c r="F11" t="inlineStr">
        <is>
          <t>VÄSTRA GÖTALANDS LÄN</t>
        </is>
      </c>
      <c r="G11" t="inlineStr">
        <is>
          <t>GRÄSTORP</t>
        </is>
      </c>
      <c r="I11" t="n">
        <v>4.9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0</v>
      </c>
      <c r="R11" t="n">
        <v>0</v>
      </c>
      <c r="S11" t="n">
        <v>0</v>
      </c>
      <c r="T11" t="n">
        <v>0</v>
      </c>
      <c r="U11" t="n">
        <v>0</v>
      </c>
      <c r="V11" s="2" t="inlineStr"/>
    </row>
    <row r="12" ht="15" customHeight="1">
      <c r="A12" t="inlineStr">
        <is>
          <t>A 2263-2025</t>
        </is>
      </c>
      <c r="B12" t="inlineStr">
        <is>
          <t>avverkningsanmälan</t>
        </is>
      </c>
      <c r="C12" t="inlineStr">
        <is>
          <t>Föryngringsavverkning</t>
        </is>
      </c>
      <c r="D12" s="1" t="n">
        <v>45673</v>
      </c>
      <c r="E12" s="1" t="n">
        <v>46317</v>
      </c>
      <c r="F12" t="inlineStr">
        <is>
          <t>VÄSTRA GÖTALANDS LÄN</t>
        </is>
      </c>
      <c r="G12" t="inlineStr">
        <is>
          <t>GRÄSTORP</t>
        </is>
      </c>
      <c r="I12" t="n">
        <v>1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0</v>
      </c>
      <c r="R12" t="n">
        <v>0</v>
      </c>
      <c r="S12" t="n">
        <v>0</v>
      </c>
      <c r="T12" t="n">
        <v>0</v>
      </c>
      <c r="U12" t="n">
        <v>0</v>
      </c>
      <c r="V12" s="2" t="inlineStr"/>
    </row>
    <row r="13" ht="15" customHeight="1">
      <c r="A13" t="inlineStr">
        <is>
          <t>A 13718-2025</t>
        </is>
      </c>
      <c r="B13" t="inlineStr">
        <is>
          <t>avverkningsanmälan</t>
        </is>
      </c>
      <c r="C13" t="inlineStr">
        <is>
          <t>Föryngringsavverkning</t>
        </is>
      </c>
      <c r="D13" s="1" t="n">
        <v>45737</v>
      </c>
      <c r="E13" s="1" t="n">
        <v>46317</v>
      </c>
      <c r="F13" t="inlineStr">
        <is>
          <t>VÄSTRA GÖTALANDS LÄN</t>
        </is>
      </c>
      <c r="G13" t="inlineStr">
        <is>
          <t>GRÄSTORP</t>
        </is>
      </c>
      <c r="H13" t="inlineStr">
        <is>
          <t>Kyrkan</t>
        </is>
      </c>
      <c r="I13" t="n">
        <v>1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0</v>
      </c>
      <c r="R13" t="n">
        <v>0</v>
      </c>
      <c r="S13" t="n">
        <v>0</v>
      </c>
      <c r="T13" t="n">
        <v>0</v>
      </c>
      <c r="U13" t="n">
        <v>0</v>
      </c>
      <c r="V13" s="2" t="inlineStr"/>
    </row>
    <row r="14" ht="15" customHeight="1">
      <c r="A14" t="inlineStr">
        <is>
          <t>A 35091-2024</t>
        </is>
      </c>
      <c r="B14" t="inlineStr">
        <is>
          <t>avverkningsanmälan</t>
        </is>
      </c>
      <c r="C14" t="inlineStr">
        <is>
          <t>Föryngringsavverkning</t>
        </is>
      </c>
      <c r="D14" s="1" t="n">
        <v>45527</v>
      </c>
      <c r="E14" s="1" t="n">
        <v>46317</v>
      </c>
      <c r="F14" t="inlineStr">
        <is>
          <t>VÄSTRA GÖTALANDS LÄN</t>
        </is>
      </c>
      <c r="G14" t="inlineStr">
        <is>
          <t>GRÄSTORP</t>
        </is>
      </c>
      <c r="I14" t="n">
        <v>1.5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t="n">
        <v>0</v>
      </c>
      <c r="S14" t="n">
        <v>0</v>
      </c>
      <c r="T14" t="n">
        <v>0</v>
      </c>
      <c r="U14" t="n">
        <v>0</v>
      </c>
      <c r="V14" s="2" t="inlineStr"/>
    </row>
    <row r="15" ht="15" customHeight="1">
      <c r="A15" t="inlineStr">
        <is>
          <t>A 25554-2025</t>
        </is>
      </c>
      <c r="B15" t="inlineStr">
        <is>
          <t>avverkningsanmälan</t>
        </is>
      </c>
      <c r="C15" t="inlineStr">
        <is>
          <t>Avverkning för att bevara och utveckla /försöksver</t>
        </is>
      </c>
      <c r="D15" s="1" t="n">
        <v>45803</v>
      </c>
      <c r="E15" s="1" t="n">
        <v>46317</v>
      </c>
      <c r="F15" t="inlineStr">
        <is>
          <t>VÄSTRA GÖTALANDS LÄN</t>
        </is>
      </c>
      <c r="G15" t="inlineStr">
        <is>
          <t>GRÄSTORP</t>
        </is>
      </c>
      <c r="H15" t="inlineStr">
        <is>
          <t>Sveaskog</t>
        </is>
      </c>
      <c r="I15" t="n">
        <v>6.5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t="n">
        <v>0</v>
      </c>
      <c r="S15" t="n">
        <v>0</v>
      </c>
      <c r="T15" t="n">
        <v>0</v>
      </c>
      <c r="U15" t="n">
        <v>0</v>
      </c>
      <c r="V15" s="2" t="inlineStr"/>
    </row>
    <row r="16" ht="15" customHeight="1">
      <c r="A16" t="inlineStr">
        <is>
          <t>A 25566-2025</t>
        </is>
      </c>
      <c r="B16" t="inlineStr">
        <is>
          <t>avverkningsanmälan</t>
        </is>
      </c>
      <c r="C16" t="inlineStr">
        <is>
          <t>Avverkning för att bevara och utveckla /försöksver</t>
        </is>
      </c>
      <c r="D16" s="1" t="n">
        <v>45803</v>
      </c>
      <c r="E16" s="1" t="n">
        <v>46317</v>
      </c>
      <c r="F16" t="inlineStr">
        <is>
          <t>VÄSTRA GÖTALANDS LÄN</t>
        </is>
      </c>
      <c r="G16" t="inlineStr">
        <is>
          <t>GRÄSTORP</t>
        </is>
      </c>
      <c r="H16" t="inlineStr">
        <is>
          <t>Sveaskog</t>
        </is>
      </c>
      <c r="I16" t="n">
        <v>3.3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t="n">
        <v>0</v>
      </c>
      <c r="S16" t="n">
        <v>0</v>
      </c>
      <c r="T16" t="n">
        <v>0</v>
      </c>
      <c r="U16" t="n">
        <v>0</v>
      </c>
      <c r="V16" s="2" t="inlineStr"/>
    </row>
    <row r="17" ht="15" customHeight="1">
      <c r="A17" t="inlineStr">
        <is>
          <t>A 45408-2025</t>
        </is>
      </c>
      <c r="B17" t="inlineStr">
        <is>
          <t>avverkningsanmälan</t>
        </is>
      </c>
      <c r="C17" t="inlineStr">
        <is>
          <t>Föryngringsavverkning</t>
        </is>
      </c>
      <c r="D17" s="1" t="n">
        <v>45922</v>
      </c>
      <c r="E17" s="1" t="n">
        <v>46317</v>
      </c>
      <c r="F17" t="inlineStr">
        <is>
          <t>VÄSTRA GÖTALANDS LÄN</t>
        </is>
      </c>
      <c r="G17" t="inlineStr">
        <is>
          <t>GRÄSTORP</t>
        </is>
      </c>
      <c r="I17" t="n">
        <v>1.7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t="n">
        <v>0</v>
      </c>
      <c r="S17" t="n">
        <v>0</v>
      </c>
      <c r="T17" t="n">
        <v>0</v>
      </c>
      <c r="U17" t="n">
        <v>0</v>
      </c>
      <c r="V17" s="2" t="inlineStr"/>
    </row>
    <row r="18" ht="15" customHeight="1">
      <c r="A18" t="inlineStr">
        <is>
          <t>A 32665-2025</t>
        </is>
      </c>
      <c r="B18" t="inlineStr">
        <is>
          <t>avverkningsanmälan</t>
        </is>
      </c>
      <c r="C18" t="inlineStr">
        <is>
          <t>Avverkning för annat ändamål</t>
        </is>
      </c>
      <c r="D18" s="1" t="n">
        <v>45838</v>
      </c>
      <c r="E18" s="1" t="n">
        <v>46317</v>
      </c>
      <c r="F18" t="inlineStr">
        <is>
          <t>VÄSTRA GÖTALANDS LÄN</t>
        </is>
      </c>
      <c r="G18" t="inlineStr">
        <is>
          <t>GRÄSTORP</t>
        </is>
      </c>
      <c r="I18" t="n">
        <v>1.3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t="n">
        <v>0</v>
      </c>
      <c r="S18" t="n">
        <v>0</v>
      </c>
      <c r="T18" t="n">
        <v>0</v>
      </c>
      <c r="U18" t="n">
        <v>0</v>
      </c>
      <c r="V18" s="2" t="inlineStr"/>
    </row>
    <row r="19" ht="15" customHeight="1">
      <c r="A19" t="inlineStr">
        <is>
          <t>A 17666-2022</t>
        </is>
      </c>
      <c r="B19" t="inlineStr">
        <is>
          <t>avverkningsanmälan</t>
        </is>
      </c>
      <c r="C19" t="inlineStr">
        <is>
          <t>Föryngringsavverkning</t>
        </is>
      </c>
      <c r="D19" s="1" t="n">
        <v>44680</v>
      </c>
      <c r="E19" s="1" t="n">
        <v>46317</v>
      </c>
      <c r="F19" t="inlineStr">
        <is>
          <t>VÄSTRA GÖTALANDS LÄN</t>
        </is>
      </c>
      <c r="G19" t="inlineStr">
        <is>
          <t>GRÄSTORP</t>
        </is>
      </c>
      <c r="I19" t="n">
        <v>1.6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t="n">
        <v>0</v>
      </c>
      <c r="S19" t="n">
        <v>0</v>
      </c>
      <c r="T19" t="n">
        <v>0</v>
      </c>
      <c r="U19" t="n">
        <v>0</v>
      </c>
      <c r="V19" s="2" t="inlineStr"/>
    </row>
    <row r="20" ht="15" customHeight="1">
      <c r="A20" t="inlineStr">
        <is>
          <t>A 2756-2026</t>
        </is>
      </c>
      <c r="B20" t="inlineStr">
        <is>
          <t>avverkningsanmälan</t>
        </is>
      </c>
      <c r="C20" t="inlineStr">
        <is>
          <t>Föryngringsavverkning</t>
        </is>
      </c>
      <c r="D20" s="1" t="n">
        <v>46038</v>
      </c>
      <c r="E20" s="1" t="n">
        <v>46317</v>
      </c>
      <c r="F20" t="inlineStr">
        <is>
          <t>VÄSTRA GÖTALANDS LÄN</t>
        </is>
      </c>
      <c r="G20" t="inlineStr">
        <is>
          <t>GRÄSTORP</t>
        </is>
      </c>
      <c r="I20" t="n">
        <v>2.4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t="n">
        <v>0</v>
      </c>
      <c r="S20" t="n">
        <v>0</v>
      </c>
      <c r="T20" t="n">
        <v>0</v>
      </c>
      <c r="U20" t="n">
        <v>0</v>
      </c>
      <c r="V20" s="2" t="inlineStr"/>
    </row>
    <row r="21" ht="15" customHeight="1">
      <c r="A21" t="inlineStr">
        <is>
          <t>A 2633-2026</t>
        </is>
      </c>
      <c r="B21" t="inlineStr">
        <is>
          <t>avverkningsanmälan</t>
        </is>
      </c>
      <c r="C21" t="inlineStr">
        <is>
          <t>Föryngringsavverkning</t>
        </is>
      </c>
      <c r="D21" s="1" t="n">
        <v>46037</v>
      </c>
      <c r="E21" s="1" t="n">
        <v>46317</v>
      </c>
      <c r="F21" t="inlineStr">
        <is>
          <t>VÄSTRA GÖTALANDS LÄN</t>
        </is>
      </c>
      <c r="G21" t="inlineStr">
        <is>
          <t>GRÄSTORP</t>
        </is>
      </c>
      <c r="I21" t="n">
        <v>2.8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t="n">
        <v>0</v>
      </c>
      <c r="S21" t="n">
        <v>0</v>
      </c>
      <c r="T21" t="n">
        <v>0</v>
      </c>
      <c r="U21" t="n">
        <v>0</v>
      </c>
      <c r="V21" s="2" t="inlineStr"/>
    </row>
    <row r="22" ht="15" customHeight="1">
      <c r="A22" t="inlineStr">
        <is>
          <t>A 24453-2025</t>
        </is>
      </c>
      <c r="B22" t="inlineStr">
        <is>
          <t>avverkningsanmälan</t>
        </is>
      </c>
      <c r="C22" t="inlineStr">
        <is>
          <t>Föryngringsavverkning</t>
        </is>
      </c>
      <c r="D22" s="1" t="n">
        <v>45798</v>
      </c>
      <c r="E22" s="1" t="n">
        <v>46317</v>
      </c>
      <c r="F22" t="inlineStr">
        <is>
          <t>VÄSTRA GÖTALANDS LÄN</t>
        </is>
      </c>
      <c r="G22" t="inlineStr">
        <is>
          <t>GRÄSTORP</t>
        </is>
      </c>
      <c r="I22" t="n">
        <v>1.7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t="n">
        <v>0</v>
      </c>
      <c r="S22" t="n">
        <v>0</v>
      </c>
      <c r="T22" t="n">
        <v>0</v>
      </c>
      <c r="U22" t="n">
        <v>0</v>
      </c>
      <c r="V22" s="2" t="inlineStr"/>
    </row>
    <row r="23" ht="15" customHeight="1">
      <c r="A23" t="inlineStr">
        <is>
          <t>A 35394-2023</t>
        </is>
      </c>
      <c r="B23" t="inlineStr">
        <is>
          <t>avverkningsanmälan</t>
        </is>
      </c>
      <c r="C23" t="inlineStr">
        <is>
          <t>Föryngringsavverkning</t>
        </is>
      </c>
      <c r="D23" s="1" t="n">
        <v>45146</v>
      </c>
      <c r="E23" s="1" t="n">
        <v>46317</v>
      </c>
      <c r="F23" t="inlineStr">
        <is>
          <t>VÄSTRA GÖTALANDS LÄN</t>
        </is>
      </c>
      <c r="G23" t="inlineStr">
        <is>
          <t>GRÄSTORP</t>
        </is>
      </c>
      <c r="I23" t="n">
        <v>2.5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t="n">
        <v>0</v>
      </c>
      <c r="S23" t="n">
        <v>0</v>
      </c>
      <c r="T23" t="n">
        <v>0</v>
      </c>
      <c r="U23" t="n">
        <v>0</v>
      </c>
      <c r="V23" s="2" t="inlineStr"/>
    </row>
    <row r="24" ht="15" customHeight="1">
      <c r="A24" t="inlineStr">
        <is>
          <t>A 31073-2022</t>
        </is>
      </c>
      <c r="B24" t="inlineStr">
        <is>
          <t>avverkningsanmälan</t>
        </is>
      </c>
      <c r="C24" t="inlineStr">
        <is>
          <t>Föryngringsavverkning</t>
        </is>
      </c>
      <c r="D24" s="1" t="n">
        <v>44769</v>
      </c>
      <c r="E24" s="1" t="n">
        <v>46317</v>
      </c>
      <c r="F24" t="inlineStr">
        <is>
          <t>VÄSTRA GÖTALANDS LÄN</t>
        </is>
      </c>
      <c r="G24" t="inlineStr">
        <is>
          <t>GRÄSTORP</t>
        </is>
      </c>
      <c r="I24" t="n">
        <v>1.1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t="n">
        <v>0</v>
      </c>
      <c r="S24" t="n">
        <v>0</v>
      </c>
      <c r="T24" t="n">
        <v>0</v>
      </c>
      <c r="U24" t="n">
        <v>0</v>
      </c>
      <c r="V24" s="2" t="inlineStr"/>
    </row>
    <row r="25" ht="15" customHeight="1">
      <c r="A25" t="inlineStr">
        <is>
          <t>A 20198-2023</t>
        </is>
      </c>
      <c r="B25" t="inlineStr">
        <is>
          <t>avverkningsanmälan</t>
        </is>
      </c>
      <c r="C25" t="inlineStr">
        <is>
          <t>Föryngringsavverkning</t>
        </is>
      </c>
      <c r="D25" s="1" t="n">
        <v>45055</v>
      </c>
      <c r="E25" s="1" t="n">
        <v>46317</v>
      </c>
      <c r="F25" t="inlineStr">
        <is>
          <t>VÄSTRA GÖTALANDS LÄN</t>
        </is>
      </c>
      <c r="G25" t="inlineStr">
        <is>
          <t>GRÄSTORP</t>
        </is>
      </c>
      <c r="I25" t="n">
        <v>1.6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t="n">
        <v>0</v>
      </c>
      <c r="S25" t="n">
        <v>0</v>
      </c>
      <c r="T25" t="n">
        <v>0</v>
      </c>
      <c r="U25" t="n">
        <v>0</v>
      </c>
      <c r="V25" s="2" t="inlineStr"/>
    </row>
    <row r="26" ht="15" customHeight="1">
      <c r="A26" t="inlineStr">
        <is>
          <t>A 2264-2025</t>
        </is>
      </c>
      <c r="B26" t="inlineStr">
        <is>
          <t>avverkningsanmälan</t>
        </is>
      </c>
      <c r="C26" t="inlineStr">
        <is>
          <t>Föryngringsavverkning</t>
        </is>
      </c>
      <c r="D26" s="1" t="n">
        <v>45673</v>
      </c>
      <c r="E26" s="1" t="n">
        <v>46317</v>
      </c>
      <c r="F26" t="inlineStr">
        <is>
          <t>VÄSTRA GÖTALANDS LÄN</t>
        </is>
      </c>
      <c r="G26" t="inlineStr">
        <is>
          <t>GRÄSTORP</t>
        </is>
      </c>
      <c r="I26" t="n">
        <v>0.4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t="n">
        <v>0</v>
      </c>
      <c r="S26" t="n">
        <v>0</v>
      </c>
      <c r="T26" t="n">
        <v>0</v>
      </c>
      <c r="U26" t="n">
        <v>0</v>
      </c>
      <c r="V26" s="2" t="inlineStr"/>
    </row>
    <row r="27" ht="15" customHeight="1">
      <c r="A27" t="inlineStr">
        <is>
          <t>A 12902-2026</t>
        </is>
      </c>
      <c r="B27" t="inlineStr">
        <is>
          <t>avverkningsanmälan</t>
        </is>
      </c>
      <c r="C27" t="inlineStr">
        <is>
          <t>Föryngringsavverkning</t>
        </is>
      </c>
      <c r="D27" s="1" t="n">
        <v>46092</v>
      </c>
      <c r="E27" s="1" t="n">
        <v>46317</v>
      </c>
      <c r="F27" t="inlineStr">
        <is>
          <t>VÄSTRA GÖTALANDS LÄN</t>
        </is>
      </c>
      <c r="G27" t="inlineStr">
        <is>
          <t>GRÄSTORP</t>
        </is>
      </c>
      <c r="I27" t="n">
        <v>4.4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t="n">
        <v>0</v>
      </c>
      <c r="S27" t="n">
        <v>0</v>
      </c>
      <c r="T27" t="n">
        <v>0</v>
      </c>
      <c r="U27" t="n">
        <v>0</v>
      </c>
      <c r="V27" s="2" t="inlineStr"/>
    </row>
    <row r="28" ht="15" customHeight="1">
      <c r="A28" t="inlineStr">
        <is>
          <t>A 43924-2022</t>
        </is>
      </c>
      <c r="B28" t="inlineStr">
        <is>
          <t>avverkningsanmälan</t>
        </is>
      </c>
      <c r="C28" t="inlineStr">
        <is>
          <t>Föryngringsavverkning</t>
        </is>
      </c>
      <c r="D28" s="1" t="n">
        <v>44838</v>
      </c>
      <c r="E28" s="1" t="n">
        <v>46317</v>
      </c>
      <c r="F28" t="inlineStr">
        <is>
          <t>VÄSTRA GÖTALANDS LÄN</t>
        </is>
      </c>
      <c r="G28" t="inlineStr">
        <is>
          <t>GRÄSTORP</t>
        </is>
      </c>
      <c r="I28" t="n">
        <v>2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t="n">
        <v>0</v>
      </c>
      <c r="S28" t="n">
        <v>0</v>
      </c>
      <c r="T28" t="n">
        <v>0</v>
      </c>
      <c r="U28" t="n">
        <v>0</v>
      </c>
      <c r="V28" s="2" t="inlineStr"/>
    </row>
    <row r="29" ht="15" customHeight="1">
      <c r="A29" t="inlineStr">
        <is>
          <t>A 14103-2026</t>
        </is>
      </c>
      <c r="B29" t="inlineStr">
        <is>
          <t>avverkningsanmälan</t>
        </is>
      </c>
      <c r="C29" t="inlineStr">
        <is>
          <t>Föryngringsavverkning</t>
        </is>
      </c>
      <c r="D29" s="1" t="n">
        <v>46099</v>
      </c>
      <c r="E29" s="1" t="n">
        <v>46317</v>
      </c>
      <c r="F29" t="inlineStr">
        <is>
          <t>VÄSTRA GÖTALANDS LÄN</t>
        </is>
      </c>
      <c r="G29" t="inlineStr">
        <is>
          <t>GRÄSTORP</t>
        </is>
      </c>
      <c r="I29" t="n">
        <v>6.3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t="n">
        <v>0</v>
      </c>
      <c r="S29" t="n">
        <v>0</v>
      </c>
      <c r="T29" t="n">
        <v>0</v>
      </c>
      <c r="U29" t="n">
        <v>0</v>
      </c>
      <c r="V29" s="2" t="inlineStr"/>
    </row>
    <row r="30" ht="15" customHeight="1">
      <c r="A30" t="inlineStr">
        <is>
          <t>A 47573-2024</t>
        </is>
      </c>
      <c r="B30" t="inlineStr">
        <is>
          <t>avverkningsanmälan</t>
        </is>
      </c>
      <c r="C30" t="inlineStr">
        <is>
          <t>Föryngringsavverkning</t>
        </is>
      </c>
      <c r="D30" s="1" t="n">
        <v>45587</v>
      </c>
      <c r="E30" s="1" t="n">
        <v>46317</v>
      </c>
      <c r="F30" t="inlineStr">
        <is>
          <t>VÄSTRA GÖTALANDS LÄN</t>
        </is>
      </c>
      <c r="G30" t="inlineStr">
        <is>
          <t>GRÄSTORP</t>
        </is>
      </c>
      <c r="I30" t="n">
        <v>5.9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t="n">
        <v>0</v>
      </c>
      <c r="S30" t="n">
        <v>0</v>
      </c>
      <c r="T30" t="n">
        <v>0</v>
      </c>
      <c r="U30" t="n">
        <v>0</v>
      </c>
      <c r="V30" s="2" t="inlineStr"/>
    </row>
    <row r="31" ht="15" customHeight="1">
      <c r="A31" t="inlineStr">
        <is>
          <t>A 59311-2024</t>
        </is>
      </c>
      <c r="B31" t="inlineStr">
        <is>
          <t>avverkningsanmälan</t>
        </is>
      </c>
      <c r="C31" t="inlineStr">
        <is>
          <t>Föryngringsavverkning</t>
        </is>
      </c>
      <c r="D31" s="1" t="n">
        <v>45637</v>
      </c>
      <c r="E31" s="1" t="n">
        <v>46317</v>
      </c>
      <c r="F31" t="inlineStr">
        <is>
          <t>VÄSTRA GÖTALANDS LÄN</t>
        </is>
      </c>
      <c r="G31" t="inlineStr">
        <is>
          <t>GRÄSTORP</t>
        </is>
      </c>
      <c r="I31" t="n">
        <v>0.3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t="n">
        <v>0</v>
      </c>
      <c r="S31" t="n">
        <v>0</v>
      </c>
      <c r="T31" t="n">
        <v>0</v>
      </c>
      <c r="U31" t="n">
        <v>0</v>
      </c>
      <c r="V31" s="2" t="inlineStr"/>
    </row>
    <row r="32" ht="15" customHeight="1">
      <c r="A32" t="inlineStr">
        <is>
          <t>A 16496-2026</t>
        </is>
      </c>
      <c r="B32" t="inlineStr">
        <is>
          <t>avverkningsanmälan</t>
        </is>
      </c>
      <c r="C32" t="inlineStr">
        <is>
          <t>Föryngringsavverkning</t>
        </is>
      </c>
      <c r="D32" s="1" t="n">
        <v>46112</v>
      </c>
      <c r="E32" s="1" t="n">
        <v>46317</v>
      </c>
      <c r="F32" t="inlineStr">
        <is>
          <t>VÄSTRA GÖTALANDS LÄN</t>
        </is>
      </c>
      <c r="G32" t="inlineStr">
        <is>
          <t>GRÄSTORP</t>
        </is>
      </c>
      <c r="I32" t="n">
        <v>1.9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t="n">
        <v>0</v>
      </c>
      <c r="S32" t="n">
        <v>0</v>
      </c>
      <c r="T32" t="n">
        <v>0</v>
      </c>
      <c r="U32" t="n">
        <v>0</v>
      </c>
      <c r="V32" s="2" t="inlineStr"/>
    </row>
    <row r="33" ht="15" customHeight="1">
      <c r="A33" t="inlineStr">
        <is>
          <t>A 59569-2022</t>
        </is>
      </c>
      <c r="B33" t="inlineStr">
        <is>
          <t>avverkningsanmälan</t>
        </is>
      </c>
      <c r="C33" t="inlineStr">
        <is>
          <t>Föryngringsavverkning</t>
        </is>
      </c>
      <c r="D33" s="1" t="n">
        <v>44907</v>
      </c>
      <c r="E33" s="1" t="n">
        <v>46317</v>
      </c>
      <c r="F33" t="inlineStr">
        <is>
          <t>VÄSTRA GÖTALANDS LÄN</t>
        </is>
      </c>
      <c r="G33" t="inlineStr">
        <is>
          <t>GRÄSTORP</t>
        </is>
      </c>
      <c r="I33" t="n">
        <v>2.1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t="n">
        <v>0</v>
      </c>
      <c r="S33" t="n">
        <v>0</v>
      </c>
      <c r="T33" t="n">
        <v>0</v>
      </c>
      <c r="U33" t="n">
        <v>0</v>
      </c>
      <c r="V33" s="2" t="inlineStr"/>
    </row>
    <row r="34" ht="15" customHeight="1">
      <c r="A34" t="inlineStr">
        <is>
          <t>A 20039-2026</t>
        </is>
      </c>
      <c r="B34" t="inlineStr">
        <is>
          <t>avverkningsanmälan</t>
        </is>
      </c>
      <c r="C34" t="inlineStr">
        <is>
          <t>Föryngringsavverkning</t>
        </is>
      </c>
      <c r="D34" s="1" t="n">
        <v>46136</v>
      </c>
      <c r="E34" s="1" t="n">
        <v>46317</v>
      </c>
      <c r="F34" t="inlineStr">
        <is>
          <t>VÄSTRA GÖTALANDS LÄN</t>
        </is>
      </c>
      <c r="G34" t="inlineStr">
        <is>
          <t>GRÄSTORP</t>
        </is>
      </c>
      <c r="I34" t="n">
        <v>0.6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t="n">
        <v>0</v>
      </c>
      <c r="S34" t="n">
        <v>0</v>
      </c>
      <c r="T34" t="n">
        <v>0</v>
      </c>
      <c r="U34" t="n">
        <v>0</v>
      </c>
      <c r="V34" s="2" t="inlineStr"/>
    </row>
    <row r="35" ht="15" customHeight="1">
      <c r="A35" t="inlineStr">
        <is>
          <t>A 19766-2026</t>
        </is>
      </c>
      <c r="B35" t="inlineStr">
        <is>
          <t>avverkningsanmälan</t>
        </is>
      </c>
      <c r="C35" t="inlineStr">
        <is>
          <t>Föryngringsavverkning</t>
        </is>
      </c>
      <c r="D35" s="1" t="n">
        <v>46135</v>
      </c>
      <c r="E35" s="1" t="n">
        <v>46317</v>
      </c>
      <c r="F35" t="inlineStr">
        <is>
          <t>VÄSTRA GÖTALANDS LÄN</t>
        </is>
      </c>
      <c r="G35" t="inlineStr">
        <is>
          <t>GRÄSTORP</t>
        </is>
      </c>
      <c r="I35" t="n">
        <v>1.9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t="n">
        <v>0</v>
      </c>
      <c r="S35" t="n">
        <v>0</v>
      </c>
      <c r="T35" t="n">
        <v>0</v>
      </c>
      <c r="U35" t="n">
        <v>0</v>
      </c>
      <c r="V35" s="2" t="inlineStr"/>
    </row>
    <row r="36" ht="15" customHeight="1">
      <c r="A36" t="inlineStr">
        <is>
          <t>A 26859-2025</t>
        </is>
      </c>
      <c r="B36" t="inlineStr">
        <is>
          <t>avverkningsanmälan</t>
        </is>
      </c>
      <c r="C36" t="inlineStr">
        <is>
          <t>Föryngringsavverkning</t>
        </is>
      </c>
      <c r="D36" s="1" t="n">
        <v>45810</v>
      </c>
      <c r="E36" s="1" t="n">
        <v>46317</v>
      </c>
      <c r="F36" t="inlineStr">
        <is>
          <t>VÄSTRA GÖTALANDS LÄN</t>
        </is>
      </c>
      <c r="G36" t="inlineStr">
        <is>
          <t>GRÄSTORP</t>
        </is>
      </c>
      <c r="I36" t="n">
        <v>2.2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t="n">
        <v>0</v>
      </c>
      <c r="S36" t="n">
        <v>0</v>
      </c>
      <c r="T36" t="n">
        <v>0</v>
      </c>
      <c r="U36" t="n">
        <v>0</v>
      </c>
      <c r="V36" s="2" t="inlineStr"/>
    </row>
    <row r="37" ht="15" customHeight="1">
      <c r="A37" t="inlineStr">
        <is>
          <t>A 20041-2026</t>
        </is>
      </c>
      <c r="B37" t="inlineStr">
        <is>
          <t>avverkningsanmälan</t>
        </is>
      </c>
      <c r="C37" t="inlineStr">
        <is>
          <t>Föryngringsavverkning</t>
        </is>
      </c>
      <c r="D37" s="1" t="n">
        <v>46136</v>
      </c>
      <c r="E37" s="1" t="n">
        <v>46317</v>
      </c>
      <c r="F37" t="inlineStr">
        <is>
          <t>VÄSTRA GÖTALANDS LÄN</t>
        </is>
      </c>
      <c r="G37" t="inlineStr">
        <is>
          <t>GRÄSTORP</t>
        </is>
      </c>
      <c r="I37" t="n">
        <v>0.6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t="n">
        <v>0</v>
      </c>
      <c r="S37" t="n">
        <v>0</v>
      </c>
      <c r="T37" t="n">
        <v>0</v>
      </c>
      <c r="U37" t="n">
        <v>0</v>
      </c>
      <c r="V37" s="2" t="inlineStr"/>
    </row>
    <row r="38" ht="15" customHeight="1">
      <c r="A38" t="inlineStr">
        <is>
          <t>A 60189-2024</t>
        </is>
      </c>
      <c r="B38" t="inlineStr">
        <is>
          <t>avverkningsanmälan</t>
        </is>
      </c>
      <c r="C38" t="inlineStr">
        <is>
          <t>Avverkning för annat ändamål</t>
        </is>
      </c>
      <c r="D38" s="1" t="n">
        <v>45640</v>
      </c>
      <c r="E38" s="1" t="n">
        <v>46317</v>
      </c>
      <c r="F38" t="inlineStr">
        <is>
          <t>VÄSTRA GÖTALANDS LÄN</t>
        </is>
      </c>
      <c r="G38" t="inlineStr">
        <is>
          <t>GRÄSTORP</t>
        </is>
      </c>
      <c r="I38" t="n">
        <v>1.4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t="n">
        <v>0</v>
      </c>
      <c r="S38" t="n">
        <v>0</v>
      </c>
      <c r="T38" t="n">
        <v>0</v>
      </c>
      <c r="U38" t="n">
        <v>0</v>
      </c>
      <c r="V38" s="2" t="inlineStr"/>
    </row>
    <row r="39" ht="15" customHeight="1">
      <c r="A39" t="inlineStr">
        <is>
          <t>A 16011-2023</t>
        </is>
      </c>
      <c r="B39" t="inlineStr">
        <is>
          <t>avverkningsanmälan</t>
        </is>
      </c>
      <c r="C39" t="inlineStr">
        <is>
          <t>Föryngringsavverkning</t>
        </is>
      </c>
      <c r="D39" s="1" t="n">
        <v>45026</v>
      </c>
      <c r="E39" s="1" t="n">
        <v>46317</v>
      </c>
      <c r="F39" t="inlineStr">
        <is>
          <t>VÄSTRA GÖTALANDS LÄN</t>
        </is>
      </c>
      <c r="G39" t="inlineStr">
        <is>
          <t>GRÄSTORP</t>
        </is>
      </c>
      <c r="I39" t="n">
        <v>4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t="n">
        <v>0</v>
      </c>
      <c r="S39" t="n">
        <v>0</v>
      </c>
      <c r="T39" t="n">
        <v>0</v>
      </c>
      <c r="U39" t="n">
        <v>0</v>
      </c>
      <c r="V39" s="2" t="inlineStr"/>
    </row>
    <row r="40" ht="15" customHeight="1">
      <c r="A40" t="inlineStr">
        <is>
          <t>A 16172-2024</t>
        </is>
      </c>
      <c r="B40" t="inlineStr">
        <is>
          <t>avverkningsanmälan</t>
        </is>
      </c>
      <c r="C40" t="inlineStr">
        <is>
          <t>Föryngringsavverkning</t>
        </is>
      </c>
      <c r="D40" s="1" t="n">
        <v>45406</v>
      </c>
      <c r="E40" s="1" t="n">
        <v>46317</v>
      </c>
      <c r="F40" t="inlineStr">
        <is>
          <t>VÄSTRA GÖTALANDS LÄN</t>
        </is>
      </c>
      <c r="G40" t="inlineStr">
        <is>
          <t>GRÄSTORP</t>
        </is>
      </c>
      <c r="I40" t="n">
        <v>1.1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t="n">
        <v>0</v>
      </c>
      <c r="S40" t="n">
        <v>0</v>
      </c>
      <c r="T40" t="n">
        <v>0</v>
      </c>
      <c r="U40" t="n">
        <v>0</v>
      </c>
      <c r="V40" s="2" t="inlineStr"/>
    </row>
    <row r="41" ht="15" customHeight="1">
      <c r="A41" t="inlineStr">
        <is>
          <t>A 21711-2026</t>
        </is>
      </c>
      <c r="B41" t="inlineStr">
        <is>
          <t>avverkningsanmälan</t>
        </is>
      </c>
      <c r="C41" t="inlineStr">
        <is>
          <t>Föryngringsavverkning</t>
        </is>
      </c>
      <c r="D41" s="1" t="n">
        <v>46149</v>
      </c>
      <c r="E41" s="1" t="n">
        <v>46317</v>
      </c>
      <c r="F41" t="inlineStr">
        <is>
          <t>VÄSTRA GÖTALANDS LÄN</t>
        </is>
      </c>
      <c r="G41" t="inlineStr">
        <is>
          <t>GRÄSTORP</t>
        </is>
      </c>
      <c r="I41" t="n">
        <v>0.7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t="n">
        <v>0</v>
      </c>
      <c r="S41" t="n">
        <v>0</v>
      </c>
      <c r="T41" t="n">
        <v>0</v>
      </c>
      <c r="U41" t="n">
        <v>0</v>
      </c>
      <c r="V41" s="2" t="inlineStr"/>
    </row>
    <row r="42" ht="15" customHeight="1">
      <c r="A42" t="inlineStr">
        <is>
          <t>A 11345-2024</t>
        </is>
      </c>
      <c r="B42" t="inlineStr">
        <is>
          <t>avverkningsanmälan</t>
        </is>
      </c>
      <c r="C42" t="inlineStr">
        <is>
          <t>Föryngringsavverkning</t>
        </is>
      </c>
      <c r="D42" s="1" t="n">
        <v>45372</v>
      </c>
      <c r="E42" s="1" t="n">
        <v>46317</v>
      </c>
      <c r="F42" t="inlineStr">
        <is>
          <t>VÄSTRA GÖTALANDS LÄN</t>
        </is>
      </c>
      <c r="G42" t="inlineStr">
        <is>
          <t>GRÄSTORP</t>
        </is>
      </c>
      <c r="I42" t="n">
        <v>2.5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t="n">
        <v>0</v>
      </c>
      <c r="S42" t="n">
        <v>0</v>
      </c>
      <c r="T42" t="n">
        <v>0</v>
      </c>
      <c r="U42" t="n">
        <v>0</v>
      </c>
      <c r="V42" s="2" t="inlineStr"/>
    </row>
    <row r="43" ht="15" customHeight="1">
      <c r="A43" t="inlineStr">
        <is>
          <t>A 22914-2026</t>
        </is>
      </c>
      <c r="B43" t="inlineStr">
        <is>
          <t>avverkningsanmälan</t>
        </is>
      </c>
      <c r="C43" t="inlineStr">
        <is>
          <t>Föryngringsavverkning</t>
        </is>
      </c>
      <c r="D43" s="1" t="n">
        <v>46160</v>
      </c>
      <c r="E43" s="1" t="n">
        <v>46317</v>
      </c>
      <c r="F43" t="inlineStr">
        <is>
          <t>VÄSTRA GÖTALANDS LÄN</t>
        </is>
      </c>
      <c r="G43" t="inlineStr">
        <is>
          <t>GRÄSTORP</t>
        </is>
      </c>
      <c r="I43" t="n">
        <v>2.5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t="n">
        <v>0</v>
      </c>
      <c r="S43" t="n">
        <v>0</v>
      </c>
      <c r="T43" t="n">
        <v>0</v>
      </c>
      <c r="U43" t="n">
        <v>0</v>
      </c>
      <c r="V43" s="2" t="inlineStr"/>
    </row>
    <row r="44" ht="15" customHeight="1">
      <c r="A44" t="inlineStr">
        <is>
          <t>A 60236-2024</t>
        </is>
      </c>
      <c r="B44" t="inlineStr">
        <is>
          <t>avverkningsanmälan</t>
        </is>
      </c>
      <c r="C44" t="inlineStr">
        <is>
          <t>Föryngringsavverkning</t>
        </is>
      </c>
      <c r="D44" s="1" t="n">
        <v>45642</v>
      </c>
      <c r="E44" s="1" t="n">
        <v>46317</v>
      </c>
      <c r="F44" t="inlineStr">
        <is>
          <t>VÄSTRA GÖTALANDS LÄN</t>
        </is>
      </c>
      <c r="G44" t="inlineStr">
        <is>
          <t>GRÄSTORP</t>
        </is>
      </c>
      <c r="I44" t="n">
        <v>1.2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t="n">
        <v>0</v>
      </c>
      <c r="S44" t="n">
        <v>0</v>
      </c>
      <c r="T44" t="n">
        <v>0</v>
      </c>
      <c r="U44" t="n">
        <v>0</v>
      </c>
      <c r="V44" s="2" t="inlineStr"/>
    </row>
    <row r="45" ht="15" customHeight="1">
      <c r="A45" t="inlineStr">
        <is>
          <t>A 18724-2026</t>
        </is>
      </c>
      <c r="B45" t="inlineStr">
        <is>
          <t>avverkningsanmälan</t>
        </is>
      </c>
      <c r="C45" t="inlineStr">
        <is>
          <t>Föryngringsavverkning</t>
        </is>
      </c>
      <c r="D45" s="1" t="n">
        <v>46128</v>
      </c>
      <c r="E45" s="1" t="n">
        <v>46317</v>
      </c>
      <c r="F45" t="inlineStr">
        <is>
          <t>VÄSTRA GÖTALANDS LÄN</t>
        </is>
      </c>
      <c r="G45" t="inlineStr">
        <is>
          <t>GRÄSTORP</t>
        </is>
      </c>
      <c r="I45" t="n">
        <v>1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t="n">
        <v>0</v>
      </c>
      <c r="S45" t="n">
        <v>0</v>
      </c>
      <c r="T45" t="n">
        <v>0</v>
      </c>
      <c r="U45" t="n">
        <v>0</v>
      </c>
      <c r="V45" s="2" t="inlineStr"/>
    </row>
    <row r="46" ht="15" customHeight="1">
      <c r="A46" t="inlineStr">
        <is>
          <t>A 25293-2026</t>
        </is>
      </c>
      <c r="B46" t="inlineStr">
        <is>
          <t>avverkningsanmälan</t>
        </is>
      </c>
      <c r="C46" t="inlineStr">
        <is>
          <t>Föryngringsavverkning</t>
        </is>
      </c>
      <c r="D46" s="1" t="n">
        <v>46176</v>
      </c>
      <c r="E46" s="1" t="n">
        <v>46317</v>
      </c>
      <c r="F46" t="inlineStr">
        <is>
          <t>VÄSTRA GÖTALANDS LÄN</t>
        </is>
      </c>
      <c r="G46" t="inlineStr">
        <is>
          <t>GRÄSTORP</t>
        </is>
      </c>
      <c r="I46" t="n">
        <v>8.300000000000001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t="n">
        <v>0</v>
      </c>
      <c r="S46" t="n">
        <v>0</v>
      </c>
      <c r="T46" t="n">
        <v>0</v>
      </c>
      <c r="U46" t="n">
        <v>0</v>
      </c>
      <c r="V46" s="2" t="inlineStr"/>
    </row>
    <row r="47" ht="15" customHeight="1">
      <c r="A47" t="inlineStr">
        <is>
          <t>A 11171-2025</t>
        </is>
      </c>
      <c r="B47" t="inlineStr">
        <is>
          <t>avverkningsanmälan</t>
        </is>
      </c>
      <c r="C47" t="inlineStr">
        <is>
          <t>Föryngringsavverkning</t>
        </is>
      </c>
      <c r="D47" s="1" t="n">
        <v>45724</v>
      </c>
      <c r="E47" s="1" t="n">
        <v>46317</v>
      </c>
      <c r="F47" t="inlineStr">
        <is>
          <t>VÄSTRA GÖTALANDS LÄN</t>
        </is>
      </c>
      <c r="G47" t="inlineStr">
        <is>
          <t>GRÄSTORP</t>
        </is>
      </c>
      <c r="I47" t="n">
        <v>1.3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t="n">
        <v>0</v>
      </c>
      <c r="S47" t="n">
        <v>0</v>
      </c>
      <c r="T47" t="n">
        <v>0</v>
      </c>
      <c r="U47" t="n">
        <v>0</v>
      </c>
      <c r="V47" s="2" t="inlineStr"/>
    </row>
    <row r="48" ht="15" customHeight="1">
      <c r="A48" t="inlineStr">
        <is>
          <t>A 40126-2023</t>
        </is>
      </c>
      <c r="B48" t="inlineStr">
        <is>
          <t>avverkningsanmälan</t>
        </is>
      </c>
      <c r="C48" t="inlineStr">
        <is>
          <t>Föryngringsavverkning</t>
        </is>
      </c>
      <c r="D48" s="1" t="n">
        <v>45169</v>
      </c>
      <c r="E48" s="1" t="n">
        <v>46317</v>
      </c>
      <c r="F48" t="inlineStr">
        <is>
          <t>VÄSTRA GÖTALANDS LÄN</t>
        </is>
      </c>
      <c r="G48" t="inlineStr">
        <is>
          <t>GRÄSTORP</t>
        </is>
      </c>
      <c r="I48" t="n">
        <v>2.5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t="n">
        <v>0</v>
      </c>
      <c r="S48" t="n">
        <v>0</v>
      </c>
      <c r="T48" t="n">
        <v>0</v>
      </c>
      <c r="U48" t="n">
        <v>0</v>
      </c>
      <c r="V48" s="2" t="inlineStr"/>
    </row>
    <row r="49" ht="15" customHeight="1">
      <c r="A49" t="inlineStr">
        <is>
          <t>A 26943-2026</t>
        </is>
      </c>
      <c r="B49" t="inlineStr">
        <is>
          <t>avverkningsanmälan</t>
        </is>
      </c>
      <c r="C49" t="inlineStr">
        <is>
          <t>Föryngringsavverkning</t>
        </is>
      </c>
      <c r="D49" s="1" t="n">
        <v>46185</v>
      </c>
      <c r="E49" s="1" t="n">
        <v>46317</v>
      </c>
      <c r="F49" t="inlineStr">
        <is>
          <t>VÄSTRA GÖTALANDS LÄN</t>
        </is>
      </c>
      <c r="G49" t="inlineStr">
        <is>
          <t>GRÄSTORP</t>
        </is>
      </c>
      <c r="I49" t="n">
        <v>2.5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t="n">
        <v>0</v>
      </c>
      <c r="S49" t="n">
        <v>0</v>
      </c>
      <c r="T49" t="n">
        <v>0</v>
      </c>
      <c r="U49" t="n">
        <v>0</v>
      </c>
      <c r="V49" s="2" t="inlineStr"/>
    </row>
    <row r="50" ht="15" customHeight="1">
      <c r="A50" t="inlineStr">
        <is>
          <t>A 28065-2026</t>
        </is>
      </c>
      <c r="B50" t="inlineStr">
        <is>
          <t>avverkningsanmälan</t>
        </is>
      </c>
      <c r="C50" t="inlineStr">
        <is>
          <t>Föryngringsavverkning</t>
        </is>
      </c>
      <c r="D50" s="1" t="n">
        <v>46195</v>
      </c>
      <c r="E50" s="1" t="n">
        <v>46317</v>
      </c>
      <c r="F50" t="inlineStr">
        <is>
          <t>VÄSTRA GÖTALANDS LÄN</t>
        </is>
      </c>
      <c r="G50" t="inlineStr">
        <is>
          <t>GRÄSTORP</t>
        </is>
      </c>
      <c r="I50" t="n">
        <v>3.6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t="n">
        <v>0</v>
      </c>
      <c r="S50" t="n">
        <v>0</v>
      </c>
      <c r="T50" t="n">
        <v>0</v>
      </c>
      <c r="U50" t="n">
        <v>0</v>
      </c>
      <c r="V50" s="2" t="inlineStr"/>
    </row>
    <row r="51" ht="15" customHeight="1">
      <c r="A51" t="inlineStr">
        <is>
          <t>A 19282-2024</t>
        </is>
      </c>
      <c r="B51" t="inlineStr">
        <is>
          <t>avverkningsanmälan</t>
        </is>
      </c>
      <c r="C51" t="inlineStr">
        <is>
          <t>Föryngringsavverkning</t>
        </is>
      </c>
      <c r="D51" s="1" t="n">
        <v>45428</v>
      </c>
      <c r="E51" s="1" t="n">
        <v>46317</v>
      </c>
      <c r="F51" t="inlineStr">
        <is>
          <t>VÄSTRA GÖTALANDS LÄN</t>
        </is>
      </c>
      <c r="G51" t="inlineStr">
        <is>
          <t>GRÄSTORP</t>
        </is>
      </c>
      <c r="I51" t="n">
        <v>5.8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t="n">
        <v>0</v>
      </c>
      <c r="S51" t="n">
        <v>0</v>
      </c>
      <c r="T51" t="n">
        <v>0</v>
      </c>
      <c r="U51" t="n">
        <v>0</v>
      </c>
      <c r="V51" s="2" t="inlineStr"/>
    </row>
    <row r="52" ht="15" customHeight="1">
      <c r="A52" t="inlineStr">
        <is>
          <t>A 29440-2026</t>
        </is>
      </c>
      <c r="B52" t="inlineStr">
        <is>
          <t>avverkningsanmälan</t>
        </is>
      </c>
      <c r="C52" t="inlineStr">
        <is>
          <t>Föryngringsavverkning</t>
        </is>
      </c>
      <c r="D52" s="1" t="n">
        <v>46203</v>
      </c>
      <c r="E52" s="1" t="n">
        <v>46317</v>
      </c>
      <c r="F52" t="inlineStr">
        <is>
          <t>VÄSTRA GÖTALANDS LÄN</t>
        </is>
      </c>
      <c r="G52" t="inlineStr">
        <is>
          <t>GRÄSTORP</t>
        </is>
      </c>
      <c r="I52" t="n">
        <v>1.5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t="n">
        <v>0</v>
      </c>
      <c r="S52" t="n">
        <v>0</v>
      </c>
      <c r="T52" t="n">
        <v>0</v>
      </c>
      <c r="U52" t="n">
        <v>0</v>
      </c>
      <c r="V52" s="2" t="inlineStr"/>
    </row>
    <row r="53" ht="15" customHeight="1">
      <c r="A53" t="inlineStr">
        <is>
          <t>A 51534-2023</t>
        </is>
      </c>
      <c r="B53" t="inlineStr">
        <is>
          <t>avverkningsanmälan</t>
        </is>
      </c>
      <c r="C53" t="inlineStr">
        <is>
          <t>Föryngringsavverkning</t>
        </is>
      </c>
      <c r="D53" s="1" t="n">
        <v>45222</v>
      </c>
      <c r="E53" s="1" t="n">
        <v>46317</v>
      </c>
      <c r="F53" t="inlineStr">
        <is>
          <t>VÄSTRA GÖTALANDS LÄN</t>
        </is>
      </c>
      <c r="G53" t="inlineStr">
        <is>
          <t>GRÄSTORP</t>
        </is>
      </c>
      <c r="I53" t="n">
        <v>3.3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t="n">
        <v>0</v>
      </c>
      <c r="S53" t="n">
        <v>0</v>
      </c>
      <c r="T53" t="n">
        <v>0</v>
      </c>
      <c r="U53" t="n">
        <v>0</v>
      </c>
      <c r="V53" s="2" t="inlineStr"/>
    </row>
    <row r="54" ht="15" customHeight="1">
      <c r="A54" t="inlineStr">
        <is>
          <t>A 32415-2026</t>
        </is>
      </c>
      <c r="B54" t="inlineStr">
        <is>
          <t>avverkningsanmälan</t>
        </is>
      </c>
      <c r="C54" t="inlineStr">
        <is>
          <t>Föryngringsavverkning</t>
        </is>
      </c>
      <c r="D54" s="1" t="n">
        <v>46238</v>
      </c>
      <c r="E54" s="1" t="n">
        <v>46317</v>
      </c>
      <c r="F54" t="inlineStr">
        <is>
          <t>VÄSTRA GÖTALANDS LÄN</t>
        </is>
      </c>
      <c r="G54" t="inlineStr">
        <is>
          <t>GRÄSTORP</t>
        </is>
      </c>
      <c r="I54" t="n">
        <v>2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t="n">
        <v>0</v>
      </c>
      <c r="S54" t="n">
        <v>0</v>
      </c>
      <c r="T54" t="n">
        <v>0</v>
      </c>
      <c r="U54" t="n">
        <v>0</v>
      </c>
      <c r="V54" s="2" t="inlineStr"/>
    </row>
    <row r="55" ht="15" customHeight="1">
      <c r="A55" t="inlineStr">
        <is>
          <t>A 53943-2024</t>
        </is>
      </c>
      <c r="B55" t="inlineStr">
        <is>
          <t>avverkningsanmälan</t>
        </is>
      </c>
      <c r="C55" t="inlineStr">
        <is>
          <t>Föryngringsavverkning</t>
        </is>
      </c>
      <c r="D55" s="1" t="n">
        <v>45616</v>
      </c>
      <c r="E55" s="1" t="n">
        <v>46317</v>
      </c>
      <c r="F55" t="inlineStr">
        <is>
          <t>VÄSTRA GÖTALANDS LÄN</t>
        </is>
      </c>
      <c r="G55" t="inlineStr">
        <is>
          <t>GRÄSTORP</t>
        </is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t="n">
        <v>0</v>
      </c>
      <c r="S55" t="n">
        <v>0</v>
      </c>
      <c r="T55" t="n">
        <v>0</v>
      </c>
      <c r="U55" t="n">
        <v>0</v>
      </c>
      <c r="V55" s="2" t="inlineStr"/>
    </row>
    <row r="56" ht="15" customHeight="1">
      <c r="A56" t="inlineStr">
        <is>
          <t>A 48865-2024</t>
        </is>
      </c>
      <c r="B56" t="inlineStr">
        <is>
          <t>avverkningsanmälan</t>
        </is>
      </c>
      <c r="C56" t="inlineStr">
        <is>
          <t>Föryngringsavverkning</t>
        </is>
      </c>
      <c r="D56" s="1" t="n">
        <v>45594</v>
      </c>
      <c r="E56" s="1" t="n">
        <v>46317</v>
      </c>
      <c r="F56" t="inlineStr">
        <is>
          <t>VÄSTRA GÖTALANDS LÄN</t>
        </is>
      </c>
      <c r="G56" t="inlineStr">
        <is>
          <t>GRÄSTORP</t>
        </is>
      </c>
      <c r="I56" t="n">
        <v>2.4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t="n">
        <v>0</v>
      </c>
      <c r="S56" t="n">
        <v>0</v>
      </c>
      <c r="T56" t="n">
        <v>0</v>
      </c>
      <c r="U56" t="n">
        <v>0</v>
      </c>
      <c r="V56" s="2" t="inlineStr"/>
    </row>
    <row r="57" ht="15" customHeight="1">
      <c r="A57" t="inlineStr">
        <is>
          <t>A 33535-2026</t>
        </is>
      </c>
      <c r="B57" t="inlineStr">
        <is>
          <t>avverkningsanmälan</t>
        </is>
      </c>
      <c r="C57" t="inlineStr">
        <is>
          <t>Föryngringsavverkning</t>
        </is>
      </c>
      <c r="D57" s="1" t="n">
        <v>46248</v>
      </c>
      <c r="E57" s="1" t="n">
        <v>46317</v>
      </c>
      <c r="F57" t="inlineStr">
        <is>
          <t>VÄSTRA GÖTALANDS LÄN</t>
        </is>
      </c>
      <c r="G57" t="inlineStr">
        <is>
          <t>GRÄSTORP</t>
        </is>
      </c>
      <c r="I57" t="n">
        <v>4.3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t="n">
        <v>0</v>
      </c>
      <c r="S57" t="n">
        <v>0</v>
      </c>
      <c r="T57" t="n">
        <v>0</v>
      </c>
      <c r="U57" t="n">
        <v>0</v>
      </c>
      <c r="V57" s="2" t="inlineStr"/>
    </row>
    <row r="58" ht="15" customHeight="1">
      <c r="A58" t="inlineStr">
        <is>
          <t>A 8650-2025</t>
        </is>
      </c>
      <c r="B58" t="inlineStr">
        <is>
          <t>avverkningsanmälan</t>
        </is>
      </c>
      <c r="C58" t="inlineStr">
        <is>
          <t>Föryngringsavverkning</t>
        </is>
      </c>
      <c r="D58" s="1" t="n">
        <v>45712</v>
      </c>
      <c r="E58" s="1" t="n">
        <v>46317</v>
      </c>
      <c r="F58" t="inlineStr">
        <is>
          <t>VÄSTRA GÖTALANDS LÄN</t>
        </is>
      </c>
      <c r="G58" t="inlineStr">
        <is>
          <t>GRÄSTORP</t>
        </is>
      </c>
      <c r="I58" t="n">
        <v>0.9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t="n">
        <v>0</v>
      </c>
      <c r="S58" t="n">
        <v>0</v>
      </c>
      <c r="T58" t="n">
        <v>0</v>
      </c>
      <c r="U58" t="n">
        <v>0</v>
      </c>
      <c r="V58" s="2" t="inlineStr"/>
    </row>
    <row r="59" ht="15" customHeight="1">
      <c r="A59" t="inlineStr">
        <is>
          <t>A 24985-2023</t>
        </is>
      </c>
      <c r="B59" t="inlineStr">
        <is>
          <t>avverkningsanmälan</t>
        </is>
      </c>
      <c r="C59" t="inlineStr">
        <is>
          <t>Föryngringsavverkning</t>
        </is>
      </c>
      <c r="D59" s="1" t="n">
        <v>45085</v>
      </c>
      <c r="E59" s="1" t="n">
        <v>46317</v>
      </c>
      <c r="F59" t="inlineStr">
        <is>
          <t>VÄSTRA GÖTALANDS LÄN</t>
        </is>
      </c>
      <c r="G59" t="inlineStr">
        <is>
          <t>GRÄSTORP</t>
        </is>
      </c>
      <c r="I59" t="n">
        <v>7.4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t="n">
        <v>0</v>
      </c>
      <c r="S59" t="n">
        <v>0</v>
      </c>
      <c r="T59" t="n">
        <v>0</v>
      </c>
      <c r="U59" t="n">
        <v>0</v>
      </c>
      <c r="V59" s="2" t="inlineStr"/>
    </row>
    <row r="60" ht="15" customHeight="1">
      <c r="A60" t="inlineStr">
        <is>
          <t>A 33531-2026</t>
        </is>
      </c>
      <c r="B60" t="inlineStr">
        <is>
          <t>avverkningsanmälan</t>
        </is>
      </c>
      <c r="C60" t="inlineStr">
        <is>
          <t>Föryngringsavverkning</t>
        </is>
      </c>
      <c r="D60" s="1" t="n">
        <v>46248</v>
      </c>
      <c r="E60" s="1" t="n">
        <v>46317</v>
      </c>
      <c r="F60" t="inlineStr">
        <is>
          <t>VÄSTRA GÖTALANDS LÄN</t>
        </is>
      </c>
      <c r="G60" t="inlineStr">
        <is>
          <t>GRÄSTORP</t>
        </is>
      </c>
      <c r="I60" t="n">
        <v>7.6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t="n">
        <v>0</v>
      </c>
      <c r="S60" t="n">
        <v>0</v>
      </c>
      <c r="T60" t="n">
        <v>0</v>
      </c>
      <c r="U60" t="n">
        <v>0</v>
      </c>
      <c r="V60" s="2" t="inlineStr"/>
    </row>
    <row r="61" ht="15" customHeight="1">
      <c r="A61" t="inlineStr">
        <is>
          <t>A 42428-2026</t>
        </is>
      </c>
      <c r="B61" t="inlineStr">
        <is>
          <t>avverkningsanmälan</t>
        </is>
      </c>
      <c r="C61" t="inlineStr">
        <is>
          <t>Avverkning för annat ändamål</t>
        </is>
      </c>
      <c r="D61" s="1" t="n">
        <v>46308</v>
      </c>
      <c r="E61" s="1" t="n">
        <v>46317</v>
      </c>
      <c r="F61" t="inlineStr">
        <is>
          <t>VÄSTRA GÖTALANDS LÄN</t>
        </is>
      </c>
      <c r="G61" t="inlineStr">
        <is>
          <t>GRÄSTORP</t>
        </is>
      </c>
      <c r="I61" t="n">
        <v>3.1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t="n">
        <v>0</v>
      </c>
      <c r="S61" t="n">
        <v>0</v>
      </c>
      <c r="T61" t="n">
        <v>0</v>
      </c>
      <c r="U61" t="n">
        <v>0</v>
      </c>
      <c r="V61" s="2" t="inlineStr"/>
    </row>
    <row r="62" ht="15" customHeight="1">
      <c r="A62" t="inlineStr">
        <is>
          <t>A 35977-2026</t>
        </is>
      </c>
      <c r="B62" t="inlineStr">
        <is>
          <t>avverkningsanmälan</t>
        </is>
      </c>
      <c r="C62" t="inlineStr">
        <is>
          <t>Föryngringsavverkning</t>
        </is>
      </c>
      <c r="D62" s="1" t="n">
        <v>46266</v>
      </c>
      <c r="E62" s="1" t="n">
        <v>46317</v>
      </c>
      <c r="F62" t="inlineStr">
        <is>
          <t>VÄSTRA GÖTALANDS LÄN</t>
        </is>
      </c>
      <c r="G62" t="inlineStr">
        <is>
          <t>GRÄSTORP</t>
        </is>
      </c>
      <c r="I62" t="n">
        <v>2.3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t="n">
        <v>0</v>
      </c>
      <c r="S62" t="n">
        <v>0</v>
      </c>
      <c r="T62" t="n">
        <v>0</v>
      </c>
      <c r="U62" t="n">
        <v>0</v>
      </c>
      <c r="V62" s="2" t="inlineStr"/>
    </row>
    <row r="63" ht="15" customHeight="1">
      <c r="A63" t="inlineStr">
        <is>
          <t>S 2400-2022</t>
        </is>
      </c>
      <c r="B63" t="inlineStr">
        <is>
          <t>samrådsanmälan</t>
        </is>
      </c>
      <c r="C63" t="inlineStr">
        <is>
          <t>Åtgärd i nyckelbiotop</t>
        </is>
      </c>
      <c r="D63" s="1" t="n">
        <v>44690</v>
      </c>
      <c r="E63" s="1" t="n">
        <v>46317</v>
      </c>
      <c r="F63" t="inlineStr">
        <is>
          <t>VÄSTRA GÖTALANDS LÄN</t>
        </is>
      </c>
      <c r="G63" t="inlineStr">
        <is>
          <t>GRÄSTORP</t>
        </is>
      </c>
      <c r="I63" t="n">
        <v>1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t="n">
        <v>0</v>
      </c>
      <c r="S63" t="n">
        <v>0</v>
      </c>
      <c r="T63" t="n">
        <v>0</v>
      </c>
      <c r="U63" t="n">
        <v>0</v>
      </c>
      <c r="V63" s="2" t="inlineStr"/>
    </row>
    <row r="64" ht="15" customHeight="1">
      <c r="A64" t="inlineStr">
        <is>
          <t>S 1654-2025</t>
        </is>
      </c>
      <c r="B64" t="inlineStr">
        <is>
          <t>samrådsanmälan</t>
        </is>
      </c>
      <c r="C64" t="inlineStr">
        <is>
          <t>Annan skogsbruksåtgärd</t>
        </is>
      </c>
      <c r="D64" s="1" t="n">
        <v>45803</v>
      </c>
      <c r="E64" s="1" t="n">
        <v>46317</v>
      </c>
      <c r="F64" t="inlineStr">
        <is>
          <t>VÄSTRA GÖTALANDS LÄN</t>
        </is>
      </c>
      <c r="G64" t="inlineStr">
        <is>
          <t>GRÄSTORP</t>
        </is>
      </c>
      <c r="H64" t="inlineStr">
        <is>
          <t>Sveaskog</t>
        </is>
      </c>
      <c r="I64" t="n">
        <v>6.5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t="n">
        <v>0</v>
      </c>
      <c r="S64" t="n">
        <v>0</v>
      </c>
      <c r="T64" t="n">
        <v>0</v>
      </c>
      <c r="U64" t="n">
        <v>0</v>
      </c>
      <c r="V64" s="2" t="inlineStr"/>
    </row>
    <row r="65">
      <c r="A65" t="inlineStr">
        <is>
          <t>S 1657-2025</t>
        </is>
      </c>
      <c r="B65" t="inlineStr">
        <is>
          <t>samrådsanmälan</t>
        </is>
      </c>
      <c r="C65" t="inlineStr">
        <is>
          <t>Annan skogsbruksåtgärd</t>
        </is>
      </c>
      <c r="D65" s="1" t="n">
        <v>45803</v>
      </c>
      <c r="E65" s="1" t="n">
        <v>46317</v>
      </c>
      <c r="F65" t="inlineStr">
        <is>
          <t>VÄSTRA GÖTALANDS LÄN</t>
        </is>
      </c>
      <c r="G65" t="inlineStr">
        <is>
          <t>GRÄSTORP</t>
        </is>
      </c>
      <c r="H65" t="inlineStr">
        <is>
          <t>Sveaskog</t>
        </is>
      </c>
      <c r="I65" t="n">
        <v>3.3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t="n">
        <v>0</v>
      </c>
      <c r="S65" t="n">
        <v>0</v>
      </c>
      <c r="T65" t="n">
        <v>0</v>
      </c>
      <c r="U65" t="n">
        <v>0</v>
      </c>
      <c r="V65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2026-10-22T01:55:10Z</dcterms:created>
  <dcterms:modified xmlns:dcterms="http://purl.org/dc/terms/" xmlns:xsi="http://www.w3.org/2001/XMLSchema-instance" xsi:type="dcterms:W3CDTF">2026-10-22T01:55:10Z</dcterms:modified>
</cp:coreProperties>
</file>