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vverknings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Z126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cols>
    <col outlineLevel="1" width="13" customWidth="1" min="22" max="26"/>
  </cols>
  <sheetData>
    <row r="0" ht="15" customHeight="1"/>
    <row r="1" ht="15" customHeight="1">
      <c r="A1" t="inlineStr">
        <is>
          <t>Beteckning</t>
        </is>
      </c>
      <c r="B1" t="inlineStr">
        <is>
          <t>Datum</t>
        </is>
      </c>
      <c r="C1" t="inlineStr">
        <is>
          <t>Förändrad</t>
        </is>
      </c>
      <c r="D1" t="inlineStr">
        <is>
          <t>Län</t>
        </is>
      </c>
      <c r="E1" t="inlineStr">
        <is>
          <t>Kommun</t>
        </is>
      </c>
      <c r="F1" t="inlineStr">
        <is>
          <t>Markägare</t>
        </is>
      </c>
      <c r="G1" t="inlineStr">
        <is>
          <t>Area (ha)</t>
        </is>
      </c>
      <c r="H1" t="inlineStr">
        <is>
          <t>Fridlysta</t>
        </is>
      </c>
      <c r="I1" t="inlineStr">
        <is>
          <t>Signalarter</t>
        </is>
      </c>
      <c r="J1" t="inlineStr">
        <is>
          <t>NT</t>
        </is>
      </c>
      <c r="K1" t="inlineStr">
        <is>
          <t>VU</t>
        </is>
      </c>
      <c r="L1" t="inlineStr">
        <is>
          <t>EN</t>
        </is>
      </c>
      <c r="M1" t="inlineStr">
        <is>
          <t>CR</t>
        </is>
      </c>
      <c r="N1" t="inlineStr">
        <is>
          <t>RE</t>
        </is>
      </c>
      <c r="O1" t="inlineStr">
        <is>
          <t>Rödlistade</t>
        </is>
      </c>
      <c r="P1" t="inlineStr">
        <is>
          <t>Hotade</t>
        </is>
      </c>
      <c r="Q1" t="inlineStr">
        <is>
          <t>Alla arter</t>
        </is>
      </c>
      <c r="R1" t="inlineStr">
        <is>
          <t>Artnamn</t>
        </is>
      </c>
      <c r="S1" t="inlineStr">
        <is>
          <t>Artfyndslänk</t>
        </is>
      </c>
      <c r="T1" t="inlineStr">
        <is>
          <t>Kartlänk</t>
        </is>
      </c>
      <c r="U1" t="inlineStr">
        <is>
          <t>Knärotsbuffertlänk</t>
        </is>
      </c>
      <c r="V1" t="inlineStr">
        <is>
          <t>Klagomålslänk</t>
        </is>
      </c>
      <c r="W1" t="inlineStr">
        <is>
          <t>Klagomålsmaillänk</t>
        </is>
      </c>
      <c r="X1" t="inlineStr">
        <is>
          <t>Tillsynsbegäranslänk</t>
        </is>
      </c>
      <c r="Y1" t="inlineStr">
        <is>
          <t>Tillsynsbegäransmaillänk</t>
        </is>
      </c>
      <c r="Z1" t="inlineStr">
        <is>
          <t>Fågeltillsynsbegäranslänk</t>
        </is>
      </c>
    </row>
    <row r="2" ht="15" customHeight="1">
      <c r="A2" t="inlineStr">
        <is>
          <t>A 35302-2021</t>
        </is>
      </c>
      <c r="B2" s="1" t="n">
        <v>44384</v>
      </c>
      <c r="C2" s="1" t="n">
        <v>45580</v>
      </c>
      <c r="D2" t="inlineStr">
        <is>
          <t>VÄSTRA GÖTALANDS LÄN</t>
        </is>
      </c>
      <c r="E2" t="inlineStr">
        <is>
          <t>GRÄSTORP</t>
        </is>
      </c>
      <c r="F2" t="inlineStr">
        <is>
          <t>Sveaskog</t>
        </is>
      </c>
      <c r="G2" t="n">
        <v>12.8</v>
      </c>
      <c r="H2" t="n">
        <v>3</v>
      </c>
      <c r="I2" t="n">
        <v>0</v>
      </c>
      <c r="J2" t="n">
        <v>3</v>
      </c>
      <c r="K2" t="n">
        <v>0</v>
      </c>
      <c r="L2" t="n">
        <v>0</v>
      </c>
      <c r="M2" t="n">
        <v>0</v>
      </c>
      <c r="N2" t="n">
        <v>0</v>
      </c>
      <c r="O2" t="n">
        <v>3</v>
      </c>
      <c r="P2" t="n">
        <v>0</v>
      </c>
      <c r="Q2" t="n">
        <v>3</v>
      </c>
      <c r="R2" s="2" t="inlineStr">
        <is>
          <t>Duvhök
Spillkråka
Talltita</t>
        </is>
      </c>
      <c r="S2">
        <f>HYPERLINK("https://klasma.github.io/Logging_1444/artfynd/A 35302-2021 artfynd.xlsx", "A 35302-2021")</f>
        <v/>
      </c>
      <c r="T2">
        <f>HYPERLINK("https://klasma.github.io/Logging_1444/kartor/A 35302-2021 karta.png", "A 35302-2021")</f>
        <v/>
      </c>
      <c r="V2">
        <f>HYPERLINK("https://klasma.github.io/Logging_1444/klagomål/A 35302-2021 FSC-klagomål.docx", "A 35302-2021")</f>
        <v/>
      </c>
      <c r="W2">
        <f>HYPERLINK("https://klasma.github.io/Logging_1444/klagomålsmail/A 35302-2021 FSC-klagomål mail.docx", "A 35302-2021")</f>
        <v/>
      </c>
      <c r="X2">
        <f>HYPERLINK("https://klasma.github.io/Logging_1444/tillsyn/A 35302-2021 tillsynsbegäran.docx", "A 35302-2021")</f>
        <v/>
      </c>
      <c r="Y2">
        <f>HYPERLINK("https://klasma.github.io/Logging_1444/tillsynsmail/A 35302-2021 tillsynsbegäran mail.docx", "A 35302-2021")</f>
        <v/>
      </c>
      <c r="Z2">
        <f>HYPERLINK("https://klasma.github.io/Logging_1444/fåglar/A 35302-2021 prioriterade fågelarter.docx", "A 35302-2021")</f>
        <v/>
      </c>
    </row>
    <row r="3" ht="15" customHeight="1">
      <c r="A3" t="inlineStr">
        <is>
          <t>A 31266-2019</t>
        </is>
      </c>
      <c r="B3" s="1" t="n">
        <v>43640</v>
      </c>
      <c r="C3" s="1" t="n">
        <v>45580</v>
      </c>
      <c r="D3" t="inlineStr">
        <is>
          <t>VÄSTRA GÖTALANDS LÄN</t>
        </is>
      </c>
      <c r="E3" t="inlineStr">
        <is>
          <t>GRÄSTORP</t>
        </is>
      </c>
      <c r="G3" t="n">
        <v>12.1</v>
      </c>
      <c r="H3" t="n">
        <v>0</v>
      </c>
      <c r="I3" t="n">
        <v>0</v>
      </c>
      <c r="J3" t="n">
        <v>0</v>
      </c>
      <c r="K3" t="n">
        <v>0</v>
      </c>
      <c r="L3" t="n">
        <v>0</v>
      </c>
      <c r="M3" t="n">
        <v>0</v>
      </c>
      <c r="N3" t="n">
        <v>0</v>
      </c>
      <c r="O3" t="n">
        <v>0</v>
      </c>
      <c r="P3" t="n">
        <v>0</v>
      </c>
      <c r="Q3" t="n">
        <v>0</v>
      </c>
      <c r="R3" s="2" t="inlineStr"/>
    </row>
    <row r="4" ht="15" customHeight="1">
      <c r="A4" t="inlineStr">
        <is>
          <t>A 40951-2019</t>
        </is>
      </c>
      <c r="B4" s="1" t="n">
        <v>43697</v>
      </c>
      <c r="C4" s="1" t="n">
        <v>45580</v>
      </c>
      <c r="D4" t="inlineStr">
        <is>
          <t>VÄSTRA GÖTALANDS LÄN</t>
        </is>
      </c>
      <c r="E4" t="inlineStr">
        <is>
          <t>GRÄSTORP</t>
        </is>
      </c>
      <c r="G4" t="n">
        <v>3.2</v>
      </c>
      <c r="H4" t="n">
        <v>0</v>
      </c>
      <c r="I4" t="n">
        <v>0</v>
      </c>
      <c r="J4" t="n">
        <v>0</v>
      </c>
      <c r="K4" t="n">
        <v>0</v>
      </c>
      <c r="L4" t="n">
        <v>0</v>
      </c>
      <c r="M4" t="n">
        <v>0</v>
      </c>
      <c r="N4" t="n">
        <v>0</v>
      </c>
      <c r="O4" t="n">
        <v>0</v>
      </c>
      <c r="P4" t="n">
        <v>0</v>
      </c>
      <c r="Q4" t="n">
        <v>0</v>
      </c>
      <c r="R4" s="2" t="inlineStr"/>
    </row>
    <row r="5" ht="15" customHeight="1">
      <c r="A5" t="inlineStr">
        <is>
          <t>A 42555-2019</t>
        </is>
      </c>
      <c r="B5" s="1" t="n">
        <v>43704</v>
      </c>
      <c r="C5" s="1" t="n">
        <v>45580</v>
      </c>
      <c r="D5" t="inlineStr">
        <is>
          <t>VÄSTRA GÖTALANDS LÄN</t>
        </is>
      </c>
      <c r="E5" t="inlineStr">
        <is>
          <t>GRÄSTORP</t>
        </is>
      </c>
      <c r="G5" t="n">
        <v>1.4</v>
      </c>
      <c r="H5" t="n">
        <v>0</v>
      </c>
      <c r="I5" t="n">
        <v>0</v>
      </c>
      <c r="J5" t="n">
        <v>0</v>
      </c>
      <c r="K5" t="n">
        <v>0</v>
      </c>
      <c r="L5" t="n">
        <v>0</v>
      </c>
      <c r="M5" t="n">
        <v>0</v>
      </c>
      <c r="N5" t="n">
        <v>0</v>
      </c>
      <c r="O5" t="n">
        <v>0</v>
      </c>
      <c r="P5" t="n">
        <v>0</v>
      </c>
      <c r="Q5" t="n">
        <v>0</v>
      </c>
      <c r="R5" s="2" t="inlineStr"/>
    </row>
    <row r="6" ht="15" customHeight="1">
      <c r="A6" t="inlineStr">
        <is>
          <t>A 43537-2019</t>
        </is>
      </c>
      <c r="B6" s="1" t="n">
        <v>43706</v>
      </c>
      <c r="C6" s="1" t="n">
        <v>45580</v>
      </c>
      <c r="D6" t="inlineStr">
        <is>
          <t>VÄSTRA GÖTALANDS LÄN</t>
        </is>
      </c>
      <c r="E6" t="inlineStr">
        <is>
          <t>GRÄSTORP</t>
        </is>
      </c>
      <c r="G6" t="n">
        <v>2.6</v>
      </c>
      <c r="H6" t="n">
        <v>0</v>
      </c>
      <c r="I6" t="n">
        <v>0</v>
      </c>
      <c r="J6" t="n">
        <v>0</v>
      </c>
      <c r="K6" t="n">
        <v>0</v>
      </c>
      <c r="L6" t="n">
        <v>0</v>
      </c>
      <c r="M6" t="n">
        <v>0</v>
      </c>
      <c r="N6" t="n">
        <v>0</v>
      </c>
      <c r="O6" t="n">
        <v>0</v>
      </c>
      <c r="P6" t="n">
        <v>0</v>
      </c>
      <c r="Q6" t="n">
        <v>0</v>
      </c>
      <c r="R6" s="2" t="inlineStr"/>
    </row>
    <row r="7" ht="15" customHeight="1">
      <c r="A7" t="inlineStr">
        <is>
          <t>A 44582-2019</t>
        </is>
      </c>
      <c r="B7" s="1" t="n">
        <v>43711</v>
      </c>
      <c r="C7" s="1" t="n">
        <v>45580</v>
      </c>
      <c r="D7" t="inlineStr">
        <is>
          <t>VÄSTRA GÖTALANDS LÄN</t>
        </is>
      </c>
      <c r="E7" t="inlineStr">
        <is>
          <t>GRÄSTORP</t>
        </is>
      </c>
      <c r="G7" t="n">
        <v>2.1</v>
      </c>
      <c r="H7" t="n">
        <v>0</v>
      </c>
      <c r="I7" t="n">
        <v>0</v>
      </c>
      <c r="J7" t="n">
        <v>0</v>
      </c>
      <c r="K7" t="n">
        <v>0</v>
      </c>
      <c r="L7" t="n">
        <v>0</v>
      </c>
      <c r="M7" t="n">
        <v>0</v>
      </c>
      <c r="N7" t="n">
        <v>0</v>
      </c>
      <c r="O7" t="n">
        <v>0</v>
      </c>
      <c r="P7" t="n">
        <v>0</v>
      </c>
      <c r="Q7" t="n">
        <v>0</v>
      </c>
      <c r="R7" s="2" t="inlineStr"/>
    </row>
    <row r="8" ht="15" customHeight="1">
      <c r="A8" t="inlineStr">
        <is>
          <t>A 48556-2019</t>
        </is>
      </c>
      <c r="B8" s="1" t="n">
        <v>43727</v>
      </c>
      <c r="C8" s="1" t="n">
        <v>45580</v>
      </c>
      <c r="D8" t="inlineStr">
        <is>
          <t>VÄSTRA GÖTALANDS LÄN</t>
        </is>
      </c>
      <c r="E8" t="inlineStr">
        <is>
          <t>GRÄSTORP</t>
        </is>
      </c>
      <c r="G8" t="n">
        <v>1.5</v>
      </c>
      <c r="H8" t="n">
        <v>0</v>
      </c>
      <c r="I8" t="n">
        <v>0</v>
      </c>
      <c r="J8" t="n">
        <v>0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s="2" t="inlineStr"/>
    </row>
    <row r="9" ht="15" customHeight="1">
      <c r="A9" t="inlineStr">
        <is>
          <t>A 60701-2019</t>
        </is>
      </c>
      <c r="B9" s="1" t="n">
        <v>43781</v>
      </c>
      <c r="C9" s="1" t="n">
        <v>45580</v>
      </c>
      <c r="D9" t="inlineStr">
        <is>
          <t>VÄSTRA GÖTALANDS LÄN</t>
        </is>
      </c>
      <c r="E9" t="inlineStr">
        <is>
          <t>GRÄSTORP</t>
        </is>
      </c>
      <c r="G9" t="n">
        <v>3.9</v>
      </c>
      <c r="H9" t="n">
        <v>0</v>
      </c>
      <c r="I9" t="n">
        <v>0</v>
      </c>
      <c r="J9" t="n">
        <v>0</v>
      </c>
      <c r="K9" t="n">
        <v>0</v>
      </c>
      <c r="L9" t="n">
        <v>0</v>
      </c>
      <c r="M9" t="n">
        <v>0</v>
      </c>
      <c r="N9" t="n">
        <v>0</v>
      </c>
      <c r="O9" t="n">
        <v>0</v>
      </c>
      <c r="P9" t="n">
        <v>0</v>
      </c>
      <c r="Q9" t="n">
        <v>0</v>
      </c>
      <c r="R9" s="2" t="inlineStr"/>
    </row>
    <row r="10" ht="15" customHeight="1">
      <c r="A10" t="inlineStr">
        <is>
          <t>A 60705-2019</t>
        </is>
      </c>
      <c r="B10" s="1" t="n">
        <v>43781</v>
      </c>
      <c r="C10" s="1" t="n">
        <v>45580</v>
      </c>
      <c r="D10" t="inlineStr">
        <is>
          <t>VÄSTRA GÖTALANDS LÄN</t>
        </is>
      </c>
      <c r="E10" t="inlineStr">
        <is>
          <t>GRÄSTORP</t>
        </is>
      </c>
      <c r="G10" t="n">
        <v>0.3</v>
      </c>
      <c r="H10" t="n">
        <v>0</v>
      </c>
      <c r="I10" t="n">
        <v>0</v>
      </c>
      <c r="J10" t="n">
        <v>0</v>
      </c>
      <c r="K10" t="n">
        <v>0</v>
      </c>
      <c r="L10" t="n">
        <v>0</v>
      </c>
      <c r="M10" t="n">
        <v>0</v>
      </c>
      <c r="N10" t="n">
        <v>0</v>
      </c>
      <c r="O10" t="n">
        <v>0</v>
      </c>
      <c r="P10" t="n">
        <v>0</v>
      </c>
      <c r="Q10" t="n">
        <v>0</v>
      </c>
      <c r="R10" s="2" t="inlineStr"/>
    </row>
    <row r="11" ht="15" customHeight="1">
      <c r="A11" t="inlineStr">
        <is>
          <t>A 62008-2019</t>
        </is>
      </c>
      <c r="B11" s="1" t="n">
        <v>43787</v>
      </c>
      <c r="C11" s="1" t="n">
        <v>45580</v>
      </c>
      <c r="D11" t="inlineStr">
        <is>
          <t>VÄSTRA GÖTALANDS LÄN</t>
        </is>
      </c>
      <c r="E11" t="inlineStr">
        <is>
          <t>GRÄSTORP</t>
        </is>
      </c>
      <c r="G11" t="n">
        <v>11.7</v>
      </c>
      <c r="H11" t="n">
        <v>0</v>
      </c>
      <c r="I11" t="n">
        <v>0</v>
      </c>
      <c r="J11" t="n">
        <v>0</v>
      </c>
      <c r="K11" t="n">
        <v>0</v>
      </c>
      <c r="L11" t="n">
        <v>0</v>
      </c>
      <c r="M11" t="n">
        <v>0</v>
      </c>
      <c r="N11" t="n">
        <v>0</v>
      </c>
      <c r="O11" t="n">
        <v>0</v>
      </c>
      <c r="P11" t="n">
        <v>0</v>
      </c>
      <c r="Q11" t="n">
        <v>0</v>
      </c>
      <c r="R11" s="2" t="inlineStr"/>
    </row>
    <row r="12" ht="15" customHeight="1">
      <c r="A12" t="inlineStr">
        <is>
          <t>A 62002-2019</t>
        </is>
      </c>
      <c r="B12" s="1" t="n">
        <v>43787</v>
      </c>
      <c r="C12" s="1" t="n">
        <v>45580</v>
      </c>
      <c r="D12" t="inlineStr">
        <is>
          <t>VÄSTRA GÖTALANDS LÄN</t>
        </is>
      </c>
      <c r="E12" t="inlineStr">
        <is>
          <t>GRÄSTORP</t>
        </is>
      </c>
      <c r="G12" t="n">
        <v>1.1</v>
      </c>
      <c r="H12" t="n">
        <v>0</v>
      </c>
      <c r="I12" t="n">
        <v>0</v>
      </c>
      <c r="J12" t="n">
        <v>0</v>
      </c>
      <c r="K12" t="n">
        <v>0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s="2" t="inlineStr"/>
    </row>
    <row r="13" ht="15" customHeight="1">
      <c r="A13" t="inlineStr">
        <is>
          <t>A 65543-2019</t>
        </is>
      </c>
      <c r="B13" s="1" t="n">
        <v>43803</v>
      </c>
      <c r="C13" s="1" t="n">
        <v>45580</v>
      </c>
      <c r="D13" t="inlineStr">
        <is>
          <t>VÄSTRA GÖTALANDS LÄN</t>
        </is>
      </c>
      <c r="E13" t="inlineStr">
        <is>
          <t>GRÄSTORP</t>
        </is>
      </c>
      <c r="G13" t="n">
        <v>3.4</v>
      </c>
      <c r="H13" t="n">
        <v>0</v>
      </c>
      <c r="I13" t="n">
        <v>0</v>
      </c>
      <c r="J13" t="n">
        <v>0</v>
      </c>
      <c r="K13" t="n">
        <v>0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s="2" t="inlineStr"/>
    </row>
    <row r="14" ht="15" customHeight="1">
      <c r="A14" t="inlineStr">
        <is>
          <t>A 13490-2020</t>
        </is>
      </c>
      <c r="B14" s="1" t="n">
        <v>43894</v>
      </c>
      <c r="C14" s="1" t="n">
        <v>45580</v>
      </c>
      <c r="D14" t="inlineStr">
        <is>
          <t>VÄSTRA GÖTALANDS LÄN</t>
        </is>
      </c>
      <c r="E14" t="inlineStr">
        <is>
          <t>GRÄSTORP</t>
        </is>
      </c>
      <c r="G14" t="n">
        <v>0.8</v>
      </c>
      <c r="H14" t="n">
        <v>0</v>
      </c>
      <c r="I14" t="n">
        <v>0</v>
      </c>
      <c r="J14" t="n">
        <v>0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s="2" t="inlineStr"/>
    </row>
    <row r="15" ht="15" customHeight="1">
      <c r="A15" t="inlineStr">
        <is>
          <t>A 12985-2020</t>
        </is>
      </c>
      <c r="B15" s="1" t="n">
        <v>43900</v>
      </c>
      <c r="C15" s="1" t="n">
        <v>45580</v>
      </c>
      <c r="D15" t="inlineStr">
        <is>
          <t>VÄSTRA GÖTALANDS LÄN</t>
        </is>
      </c>
      <c r="E15" t="inlineStr">
        <is>
          <t>GRÄSTORP</t>
        </is>
      </c>
      <c r="G15" t="n">
        <v>1.1</v>
      </c>
      <c r="H15" t="n">
        <v>0</v>
      </c>
      <c r="I15" t="n">
        <v>0</v>
      </c>
      <c r="J15" t="n">
        <v>0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s="2" t="inlineStr"/>
    </row>
    <row r="16" ht="15" customHeight="1">
      <c r="A16" t="inlineStr">
        <is>
          <t>A 13004-2020</t>
        </is>
      </c>
      <c r="B16" s="1" t="n">
        <v>43900</v>
      </c>
      <c r="C16" s="1" t="n">
        <v>45580</v>
      </c>
      <c r="D16" t="inlineStr">
        <is>
          <t>VÄSTRA GÖTALANDS LÄN</t>
        </is>
      </c>
      <c r="E16" t="inlineStr">
        <is>
          <t>GRÄSTORP</t>
        </is>
      </c>
      <c r="G16" t="n">
        <v>0.5</v>
      </c>
      <c r="H16" t="n">
        <v>0</v>
      </c>
      <c r="I16" t="n">
        <v>0</v>
      </c>
      <c r="J16" t="n">
        <v>0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s="2" t="inlineStr"/>
    </row>
    <row r="17" ht="15" customHeight="1">
      <c r="A17" t="inlineStr">
        <is>
          <t>A 12994-2020</t>
        </is>
      </c>
      <c r="B17" s="1" t="n">
        <v>43900</v>
      </c>
      <c r="C17" s="1" t="n">
        <v>45580</v>
      </c>
      <c r="D17" t="inlineStr">
        <is>
          <t>VÄSTRA GÖTALANDS LÄN</t>
        </is>
      </c>
      <c r="E17" t="inlineStr">
        <is>
          <t>GRÄSTORP</t>
        </is>
      </c>
      <c r="G17" t="n">
        <v>2.4</v>
      </c>
      <c r="H17" t="n">
        <v>0</v>
      </c>
      <c r="I17" t="n">
        <v>0</v>
      </c>
      <c r="J17" t="n">
        <v>0</v>
      </c>
      <c r="K17" t="n">
        <v>0</v>
      </c>
      <c r="L17" t="n">
        <v>0</v>
      </c>
      <c r="M17" t="n">
        <v>0</v>
      </c>
      <c r="N17" t="n">
        <v>0</v>
      </c>
      <c r="O17" t="n">
        <v>0</v>
      </c>
      <c r="P17" t="n">
        <v>0</v>
      </c>
      <c r="Q17" t="n">
        <v>0</v>
      </c>
      <c r="R17" s="2" t="inlineStr"/>
    </row>
    <row r="18" ht="15" customHeight="1">
      <c r="A18" t="inlineStr">
        <is>
          <t>A 18685-2020</t>
        </is>
      </c>
      <c r="B18" s="1" t="n">
        <v>43930</v>
      </c>
      <c r="C18" s="1" t="n">
        <v>45580</v>
      </c>
      <c r="D18" t="inlineStr">
        <is>
          <t>VÄSTRA GÖTALANDS LÄN</t>
        </is>
      </c>
      <c r="E18" t="inlineStr">
        <is>
          <t>GRÄSTORP</t>
        </is>
      </c>
      <c r="G18" t="n">
        <v>1</v>
      </c>
      <c r="H18" t="n">
        <v>0</v>
      </c>
      <c r="I18" t="n">
        <v>0</v>
      </c>
      <c r="J18" t="n">
        <v>0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s="2" t="inlineStr"/>
    </row>
    <row r="19" ht="15" customHeight="1">
      <c r="A19" t="inlineStr">
        <is>
          <t>A 18697-2020</t>
        </is>
      </c>
      <c r="B19" s="1" t="n">
        <v>43930</v>
      </c>
      <c r="C19" s="1" t="n">
        <v>45580</v>
      </c>
      <c r="D19" t="inlineStr">
        <is>
          <t>VÄSTRA GÖTALANDS LÄN</t>
        </is>
      </c>
      <c r="E19" t="inlineStr">
        <is>
          <t>GRÄSTORP</t>
        </is>
      </c>
      <c r="G19" t="n">
        <v>1.2</v>
      </c>
      <c r="H19" t="n">
        <v>0</v>
      </c>
      <c r="I19" t="n">
        <v>0</v>
      </c>
      <c r="J19" t="n">
        <v>0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s="2" t="inlineStr"/>
    </row>
    <row r="20" ht="15" customHeight="1">
      <c r="A20" t="inlineStr">
        <is>
          <t>A 18940-2020</t>
        </is>
      </c>
      <c r="B20" s="1" t="n">
        <v>43935</v>
      </c>
      <c r="C20" s="1" t="n">
        <v>45580</v>
      </c>
      <c r="D20" t="inlineStr">
        <is>
          <t>VÄSTRA GÖTALANDS LÄN</t>
        </is>
      </c>
      <c r="E20" t="inlineStr">
        <is>
          <t>GRÄSTORP</t>
        </is>
      </c>
      <c r="G20" t="n">
        <v>1.1</v>
      </c>
      <c r="H20" t="n">
        <v>0</v>
      </c>
      <c r="I20" t="n">
        <v>0</v>
      </c>
      <c r="J20" t="n">
        <v>0</v>
      </c>
      <c r="K20" t="n">
        <v>0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s="2" t="inlineStr"/>
    </row>
    <row r="21" ht="15" customHeight="1">
      <c r="A21" t="inlineStr">
        <is>
          <t>A 24993-2020</t>
        </is>
      </c>
      <c r="B21" s="1" t="n">
        <v>43979</v>
      </c>
      <c r="C21" s="1" t="n">
        <v>45580</v>
      </c>
      <c r="D21" t="inlineStr">
        <is>
          <t>VÄSTRA GÖTALANDS LÄN</t>
        </is>
      </c>
      <c r="E21" t="inlineStr">
        <is>
          <t>GRÄSTORP</t>
        </is>
      </c>
      <c r="G21" t="n">
        <v>0.5</v>
      </c>
      <c r="H21" t="n">
        <v>0</v>
      </c>
      <c r="I21" t="n">
        <v>0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s="2" t="inlineStr"/>
    </row>
    <row r="22" ht="15" customHeight="1">
      <c r="A22" t="inlineStr">
        <is>
          <t>A 25777-2020</t>
        </is>
      </c>
      <c r="B22" s="1" t="n">
        <v>43984</v>
      </c>
      <c r="C22" s="1" t="n">
        <v>45580</v>
      </c>
      <c r="D22" t="inlineStr">
        <is>
          <t>VÄSTRA GÖTALANDS LÄN</t>
        </is>
      </c>
      <c r="E22" t="inlineStr">
        <is>
          <t>GRÄSTORP</t>
        </is>
      </c>
      <c r="G22" t="n">
        <v>2.4</v>
      </c>
      <c r="H22" t="n">
        <v>0</v>
      </c>
      <c r="I22" t="n">
        <v>0</v>
      </c>
      <c r="J22" t="n">
        <v>0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s="2" t="inlineStr"/>
    </row>
    <row r="23" ht="15" customHeight="1">
      <c r="A23" t="inlineStr">
        <is>
          <t>A 27984-2020</t>
        </is>
      </c>
      <c r="B23" s="1" t="n">
        <v>43997</v>
      </c>
      <c r="C23" s="1" t="n">
        <v>45580</v>
      </c>
      <c r="D23" t="inlineStr">
        <is>
          <t>VÄSTRA GÖTALANDS LÄN</t>
        </is>
      </c>
      <c r="E23" t="inlineStr">
        <is>
          <t>GRÄSTORP</t>
        </is>
      </c>
      <c r="G23" t="n">
        <v>0.9</v>
      </c>
      <c r="H23" t="n">
        <v>0</v>
      </c>
      <c r="I23" t="n">
        <v>0</v>
      </c>
      <c r="J23" t="n">
        <v>0</v>
      </c>
      <c r="K23" t="n">
        <v>0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s="2" t="inlineStr"/>
    </row>
    <row r="24" ht="15" customHeight="1">
      <c r="A24" t="inlineStr">
        <is>
          <t>A 33546-2020</t>
        </is>
      </c>
      <c r="B24" s="1" t="n">
        <v>44021</v>
      </c>
      <c r="C24" s="1" t="n">
        <v>45580</v>
      </c>
      <c r="D24" t="inlineStr">
        <is>
          <t>VÄSTRA GÖTALANDS LÄN</t>
        </is>
      </c>
      <c r="E24" t="inlineStr">
        <is>
          <t>GRÄSTORP</t>
        </is>
      </c>
      <c r="G24" t="n">
        <v>1.4</v>
      </c>
      <c r="H24" t="n">
        <v>0</v>
      </c>
      <c r="I24" t="n">
        <v>0</v>
      </c>
      <c r="J24" t="n">
        <v>0</v>
      </c>
      <c r="K24" t="n">
        <v>0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s="2" t="inlineStr"/>
    </row>
    <row r="25" ht="15" customHeight="1">
      <c r="A25" t="inlineStr">
        <is>
          <t>A 33692-2020</t>
        </is>
      </c>
      <c r="B25" s="1" t="n">
        <v>44022</v>
      </c>
      <c r="C25" s="1" t="n">
        <v>45580</v>
      </c>
      <c r="D25" t="inlineStr">
        <is>
          <t>VÄSTRA GÖTALANDS LÄN</t>
        </is>
      </c>
      <c r="E25" t="inlineStr">
        <is>
          <t>GRÄSTORP</t>
        </is>
      </c>
      <c r="G25" t="n">
        <v>10.3</v>
      </c>
      <c r="H25" t="n">
        <v>0</v>
      </c>
      <c r="I25" t="n">
        <v>0</v>
      </c>
      <c r="J25" t="n">
        <v>0</v>
      </c>
      <c r="K25" t="n">
        <v>0</v>
      </c>
      <c r="L25" t="n">
        <v>0</v>
      </c>
      <c r="M25" t="n">
        <v>0</v>
      </c>
      <c r="N25" t="n">
        <v>0</v>
      </c>
      <c r="O25" t="n">
        <v>0</v>
      </c>
      <c r="P25" t="n">
        <v>0</v>
      </c>
      <c r="Q25" t="n">
        <v>0</v>
      </c>
      <c r="R25" s="2" t="inlineStr"/>
    </row>
    <row r="26" ht="15" customHeight="1">
      <c r="A26" t="inlineStr">
        <is>
          <t>A 33974-2020</t>
        </is>
      </c>
      <c r="B26" s="1" t="n">
        <v>44028</v>
      </c>
      <c r="C26" s="1" t="n">
        <v>45580</v>
      </c>
      <c r="D26" t="inlineStr">
        <is>
          <t>VÄSTRA GÖTALANDS LÄN</t>
        </is>
      </c>
      <c r="E26" t="inlineStr">
        <is>
          <t>GRÄSTORP</t>
        </is>
      </c>
      <c r="G26" t="n">
        <v>1.8</v>
      </c>
      <c r="H26" t="n">
        <v>0</v>
      </c>
      <c r="I26" t="n">
        <v>0</v>
      </c>
      <c r="J26" t="n">
        <v>0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s="2" t="inlineStr"/>
    </row>
    <row r="27" ht="15" customHeight="1">
      <c r="A27" t="inlineStr">
        <is>
          <t>A 34614-2020</t>
        </is>
      </c>
      <c r="B27" s="1" t="n">
        <v>44034</v>
      </c>
      <c r="C27" s="1" t="n">
        <v>45580</v>
      </c>
      <c r="D27" t="inlineStr">
        <is>
          <t>VÄSTRA GÖTALANDS LÄN</t>
        </is>
      </c>
      <c r="E27" t="inlineStr">
        <is>
          <t>GRÄSTORP</t>
        </is>
      </c>
      <c r="G27" t="n">
        <v>2.7</v>
      </c>
      <c r="H27" t="n">
        <v>0</v>
      </c>
      <c r="I27" t="n">
        <v>0</v>
      </c>
      <c r="J27" t="n">
        <v>0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s="2" t="inlineStr"/>
    </row>
    <row r="28" ht="15" customHeight="1">
      <c r="A28" t="inlineStr">
        <is>
          <t>A 35772-2020</t>
        </is>
      </c>
      <c r="B28" s="1" t="n">
        <v>44046</v>
      </c>
      <c r="C28" s="1" t="n">
        <v>45580</v>
      </c>
      <c r="D28" t="inlineStr">
        <is>
          <t>VÄSTRA GÖTALANDS LÄN</t>
        </is>
      </c>
      <c r="E28" t="inlineStr">
        <is>
          <t>GRÄSTORP</t>
        </is>
      </c>
      <c r="G28" t="n">
        <v>1</v>
      </c>
      <c r="H28" t="n">
        <v>0</v>
      </c>
      <c r="I28" t="n">
        <v>0</v>
      </c>
      <c r="J28" t="n">
        <v>0</v>
      </c>
      <c r="K28" t="n">
        <v>0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s="2" t="inlineStr"/>
    </row>
    <row r="29" ht="15" customHeight="1">
      <c r="A29" t="inlineStr">
        <is>
          <t>A 39280-2020</t>
        </is>
      </c>
      <c r="B29" s="1" t="n">
        <v>44063</v>
      </c>
      <c r="C29" s="1" t="n">
        <v>45580</v>
      </c>
      <c r="D29" t="inlineStr">
        <is>
          <t>VÄSTRA GÖTALANDS LÄN</t>
        </is>
      </c>
      <c r="E29" t="inlineStr">
        <is>
          <t>GRÄSTORP</t>
        </is>
      </c>
      <c r="G29" t="n">
        <v>1.5</v>
      </c>
      <c r="H29" t="n">
        <v>0</v>
      </c>
      <c r="I29" t="n">
        <v>0</v>
      </c>
      <c r="J29" t="n">
        <v>0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s="2" t="inlineStr"/>
    </row>
    <row r="30" ht="15" customHeight="1">
      <c r="A30" t="inlineStr">
        <is>
          <t>A 39562-2020</t>
        </is>
      </c>
      <c r="B30" s="1" t="n">
        <v>44063</v>
      </c>
      <c r="C30" s="1" t="n">
        <v>45580</v>
      </c>
      <c r="D30" t="inlineStr">
        <is>
          <t>VÄSTRA GÖTALANDS LÄN</t>
        </is>
      </c>
      <c r="E30" t="inlineStr">
        <is>
          <t>GRÄSTORP</t>
        </is>
      </c>
      <c r="G30" t="n">
        <v>0.7</v>
      </c>
      <c r="H30" t="n">
        <v>0</v>
      </c>
      <c r="I30" t="n">
        <v>0</v>
      </c>
      <c r="J30" t="n">
        <v>0</v>
      </c>
      <c r="K30" t="n">
        <v>0</v>
      </c>
      <c r="L30" t="n">
        <v>0</v>
      </c>
      <c r="M30" t="n">
        <v>0</v>
      </c>
      <c r="N30" t="n">
        <v>0</v>
      </c>
      <c r="O30" t="n">
        <v>0</v>
      </c>
      <c r="P30" t="n">
        <v>0</v>
      </c>
      <c r="Q30" t="n">
        <v>0</v>
      </c>
      <c r="R30" s="2" t="inlineStr"/>
    </row>
    <row r="31" ht="15" customHeight="1">
      <c r="A31" t="inlineStr">
        <is>
          <t>A 40707-2020</t>
        </is>
      </c>
      <c r="B31" s="1" t="n">
        <v>44069</v>
      </c>
      <c r="C31" s="1" t="n">
        <v>45580</v>
      </c>
      <c r="D31" t="inlineStr">
        <is>
          <t>VÄSTRA GÖTALANDS LÄN</t>
        </is>
      </c>
      <c r="E31" t="inlineStr">
        <is>
          <t>GRÄSTORP</t>
        </is>
      </c>
      <c r="G31" t="n">
        <v>3.2</v>
      </c>
      <c r="H31" t="n">
        <v>0</v>
      </c>
      <c r="I31" t="n">
        <v>0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s="2" t="inlineStr"/>
    </row>
    <row r="32" ht="15" customHeight="1">
      <c r="A32" t="inlineStr">
        <is>
          <t>A 42170-2020</t>
        </is>
      </c>
      <c r="B32" s="1" t="n">
        <v>44075</v>
      </c>
      <c r="C32" s="1" t="n">
        <v>45580</v>
      </c>
      <c r="D32" t="inlineStr">
        <is>
          <t>VÄSTRA GÖTALANDS LÄN</t>
        </is>
      </c>
      <c r="E32" t="inlineStr">
        <is>
          <t>GRÄSTORP</t>
        </is>
      </c>
      <c r="G32" t="n">
        <v>2.2</v>
      </c>
      <c r="H32" t="n">
        <v>0</v>
      </c>
      <c r="I32" t="n">
        <v>0</v>
      </c>
      <c r="J32" t="n">
        <v>0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s="2" t="inlineStr"/>
    </row>
    <row r="33" ht="15" customHeight="1">
      <c r="A33" t="inlineStr">
        <is>
          <t>A 43571-2020</t>
        </is>
      </c>
      <c r="B33" s="1" t="n">
        <v>44077</v>
      </c>
      <c r="C33" s="1" t="n">
        <v>45580</v>
      </c>
      <c r="D33" t="inlineStr">
        <is>
          <t>VÄSTRA GÖTALANDS LÄN</t>
        </is>
      </c>
      <c r="E33" t="inlineStr">
        <is>
          <t>GRÄSTORP</t>
        </is>
      </c>
      <c r="G33" t="n">
        <v>3</v>
      </c>
      <c r="H33" t="n">
        <v>0</v>
      </c>
      <c r="I33" t="n">
        <v>0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s="2" t="inlineStr"/>
    </row>
    <row r="34" ht="15" customHeight="1">
      <c r="A34" t="inlineStr">
        <is>
          <t>A 45396-2020</t>
        </is>
      </c>
      <c r="B34" s="1" t="n">
        <v>44089</v>
      </c>
      <c r="C34" s="1" t="n">
        <v>45580</v>
      </c>
      <c r="D34" t="inlineStr">
        <is>
          <t>VÄSTRA GÖTALANDS LÄN</t>
        </is>
      </c>
      <c r="E34" t="inlineStr">
        <is>
          <t>GRÄSTORP</t>
        </is>
      </c>
      <c r="G34" t="n">
        <v>1.9</v>
      </c>
      <c r="H34" t="n">
        <v>0</v>
      </c>
      <c r="I34" t="n">
        <v>0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s="2" t="inlineStr"/>
    </row>
    <row r="35" ht="15" customHeight="1">
      <c r="A35" t="inlineStr">
        <is>
          <t>A 47104-2020</t>
        </is>
      </c>
      <c r="B35" s="1" t="n">
        <v>44096</v>
      </c>
      <c r="C35" s="1" t="n">
        <v>45580</v>
      </c>
      <c r="D35" t="inlineStr">
        <is>
          <t>VÄSTRA GÖTALANDS LÄN</t>
        </is>
      </c>
      <c r="E35" t="inlineStr">
        <is>
          <t>GRÄSTORP</t>
        </is>
      </c>
      <c r="G35" t="n">
        <v>0.8</v>
      </c>
      <c r="H35" t="n">
        <v>0</v>
      </c>
      <c r="I35" t="n">
        <v>0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s="2" t="inlineStr"/>
    </row>
    <row r="36" ht="15" customHeight="1">
      <c r="A36" t="inlineStr">
        <is>
          <t>A 54123-2020</t>
        </is>
      </c>
      <c r="B36" s="1" t="n">
        <v>44125</v>
      </c>
      <c r="C36" s="1" t="n">
        <v>45580</v>
      </c>
      <c r="D36" t="inlineStr">
        <is>
          <t>VÄSTRA GÖTALANDS LÄN</t>
        </is>
      </c>
      <c r="E36" t="inlineStr">
        <is>
          <t>GRÄSTORP</t>
        </is>
      </c>
      <c r="G36" t="n">
        <v>0.3</v>
      </c>
      <c r="H36" t="n">
        <v>0</v>
      </c>
      <c r="I36" t="n">
        <v>0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s="2" t="inlineStr"/>
    </row>
    <row r="37" ht="15" customHeight="1">
      <c r="A37" t="inlineStr">
        <is>
          <t>A 55366-2020</t>
        </is>
      </c>
      <c r="B37" s="1" t="n">
        <v>44131</v>
      </c>
      <c r="C37" s="1" t="n">
        <v>45580</v>
      </c>
      <c r="D37" t="inlineStr">
        <is>
          <t>VÄSTRA GÖTALANDS LÄN</t>
        </is>
      </c>
      <c r="E37" t="inlineStr">
        <is>
          <t>GRÄSTORP</t>
        </is>
      </c>
      <c r="G37" t="n">
        <v>1.8</v>
      </c>
      <c r="H37" t="n">
        <v>0</v>
      </c>
      <c r="I37" t="n">
        <v>0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s="2" t="inlineStr"/>
    </row>
    <row r="38" ht="15" customHeight="1">
      <c r="A38" t="inlineStr">
        <is>
          <t>A 58482-2020</t>
        </is>
      </c>
      <c r="B38" s="1" t="n">
        <v>44145</v>
      </c>
      <c r="C38" s="1" t="n">
        <v>45580</v>
      </c>
      <c r="D38" t="inlineStr">
        <is>
          <t>VÄSTRA GÖTALANDS LÄN</t>
        </is>
      </c>
      <c r="E38" t="inlineStr">
        <is>
          <t>GRÄSTORP</t>
        </is>
      </c>
      <c r="G38" t="n">
        <v>0.4</v>
      </c>
      <c r="H38" t="n">
        <v>0</v>
      </c>
      <c r="I38" t="n">
        <v>0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s="2" t="inlineStr"/>
    </row>
    <row r="39" ht="15" customHeight="1">
      <c r="A39" t="inlineStr">
        <is>
          <t>A 62101-2020</t>
        </is>
      </c>
      <c r="B39" s="1" t="n">
        <v>44159</v>
      </c>
      <c r="C39" s="1" t="n">
        <v>45580</v>
      </c>
      <c r="D39" t="inlineStr">
        <is>
          <t>VÄSTRA GÖTALANDS LÄN</t>
        </is>
      </c>
      <c r="E39" t="inlineStr">
        <is>
          <t>GRÄSTORP</t>
        </is>
      </c>
      <c r="F39" t="inlineStr">
        <is>
          <t>Kyrkan</t>
        </is>
      </c>
      <c r="G39" t="n">
        <v>2.6</v>
      </c>
      <c r="H39" t="n">
        <v>0</v>
      </c>
      <c r="I39" t="n">
        <v>0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s="2" t="inlineStr"/>
    </row>
    <row r="40" ht="15" customHeight="1">
      <c r="A40" t="inlineStr">
        <is>
          <t>A 64352-2020</t>
        </is>
      </c>
      <c r="B40" s="1" t="n">
        <v>44166</v>
      </c>
      <c r="C40" s="1" t="n">
        <v>45580</v>
      </c>
      <c r="D40" t="inlineStr">
        <is>
          <t>VÄSTRA GÖTALANDS LÄN</t>
        </is>
      </c>
      <c r="E40" t="inlineStr">
        <is>
          <t>GRÄSTORP</t>
        </is>
      </c>
      <c r="G40" t="n">
        <v>3</v>
      </c>
      <c r="H40" t="n">
        <v>0</v>
      </c>
      <c r="I40" t="n">
        <v>0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s="2" t="inlineStr"/>
    </row>
    <row r="41" ht="15" customHeight="1">
      <c r="A41" t="inlineStr">
        <is>
          <t>A 64033-2020</t>
        </is>
      </c>
      <c r="B41" s="1" t="n">
        <v>44167</v>
      </c>
      <c r="C41" s="1" t="n">
        <v>45580</v>
      </c>
      <c r="D41" t="inlineStr">
        <is>
          <t>VÄSTRA GÖTALANDS LÄN</t>
        </is>
      </c>
      <c r="E41" t="inlineStr">
        <is>
          <t>GRÄSTORP</t>
        </is>
      </c>
      <c r="G41" t="n">
        <v>0.3</v>
      </c>
      <c r="H41" t="n">
        <v>0</v>
      </c>
      <c r="I41" t="n">
        <v>0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s="2" t="inlineStr"/>
    </row>
    <row r="42" ht="15" customHeight="1">
      <c r="A42" t="inlineStr">
        <is>
          <t>A 663-2021</t>
        </is>
      </c>
      <c r="B42" s="1" t="n">
        <v>44203</v>
      </c>
      <c r="C42" s="1" t="n">
        <v>45580</v>
      </c>
      <c r="D42" t="inlineStr">
        <is>
          <t>VÄSTRA GÖTALANDS LÄN</t>
        </is>
      </c>
      <c r="E42" t="inlineStr">
        <is>
          <t>GRÄSTORP</t>
        </is>
      </c>
      <c r="G42" t="n">
        <v>0.4</v>
      </c>
      <c r="H42" t="n">
        <v>0</v>
      </c>
      <c r="I42" t="n">
        <v>0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s="2" t="inlineStr"/>
    </row>
    <row r="43" ht="15" customHeight="1">
      <c r="A43" t="inlineStr">
        <is>
          <t>A 4380-2021</t>
        </is>
      </c>
      <c r="B43" s="1" t="n">
        <v>44223</v>
      </c>
      <c r="C43" s="1" t="n">
        <v>45580</v>
      </c>
      <c r="D43" t="inlineStr">
        <is>
          <t>VÄSTRA GÖTALANDS LÄN</t>
        </is>
      </c>
      <c r="E43" t="inlineStr">
        <is>
          <t>GRÄSTORP</t>
        </is>
      </c>
      <c r="G43" t="n">
        <v>3.1</v>
      </c>
      <c r="H43" t="n">
        <v>0</v>
      </c>
      <c r="I43" t="n">
        <v>0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s="2" t="inlineStr"/>
    </row>
    <row r="44" ht="15" customHeight="1">
      <c r="A44" t="inlineStr">
        <is>
          <t>A 12846-2021</t>
        </is>
      </c>
      <c r="B44" s="1" t="n">
        <v>44270</v>
      </c>
      <c r="C44" s="1" t="n">
        <v>45580</v>
      </c>
      <c r="D44" t="inlineStr">
        <is>
          <t>VÄSTRA GÖTALANDS LÄN</t>
        </is>
      </c>
      <c r="E44" t="inlineStr">
        <is>
          <t>GRÄSTORP</t>
        </is>
      </c>
      <c r="G44" t="n">
        <v>1.7</v>
      </c>
      <c r="H44" t="n">
        <v>0</v>
      </c>
      <c r="I44" t="n">
        <v>0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s="2" t="inlineStr"/>
    </row>
    <row r="45" ht="15" customHeight="1">
      <c r="A45" t="inlineStr">
        <is>
          <t>A 14832-2021</t>
        </is>
      </c>
      <c r="B45" s="1" t="n">
        <v>44280</v>
      </c>
      <c r="C45" s="1" t="n">
        <v>45580</v>
      </c>
      <c r="D45" t="inlineStr">
        <is>
          <t>VÄSTRA GÖTALANDS LÄN</t>
        </is>
      </c>
      <c r="E45" t="inlineStr">
        <is>
          <t>GRÄSTORP</t>
        </is>
      </c>
      <c r="G45" t="n">
        <v>1.7</v>
      </c>
      <c r="H45" t="n">
        <v>0</v>
      </c>
      <c r="I45" t="n">
        <v>0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s="2" t="inlineStr"/>
    </row>
    <row r="46" ht="15" customHeight="1">
      <c r="A46" t="inlineStr">
        <is>
          <t>A 19455-2021</t>
        </is>
      </c>
      <c r="B46" s="1" t="n">
        <v>44311</v>
      </c>
      <c r="C46" s="1" t="n">
        <v>45580</v>
      </c>
      <c r="D46" t="inlineStr">
        <is>
          <t>VÄSTRA GÖTALANDS LÄN</t>
        </is>
      </c>
      <c r="E46" t="inlineStr">
        <is>
          <t>GRÄSTORP</t>
        </is>
      </c>
      <c r="G46" t="n">
        <v>10.9</v>
      </c>
      <c r="H46" t="n">
        <v>0</v>
      </c>
      <c r="I46" t="n">
        <v>0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s="2" t="inlineStr"/>
    </row>
    <row r="47" ht="15" customHeight="1">
      <c r="A47" t="inlineStr">
        <is>
          <t>A 20523-2021</t>
        </is>
      </c>
      <c r="B47" s="1" t="n">
        <v>44315</v>
      </c>
      <c r="C47" s="1" t="n">
        <v>45580</v>
      </c>
      <c r="D47" t="inlineStr">
        <is>
          <t>VÄSTRA GÖTALANDS LÄN</t>
        </is>
      </c>
      <c r="E47" t="inlineStr">
        <is>
          <t>GRÄSTORP</t>
        </is>
      </c>
      <c r="G47" t="n">
        <v>2</v>
      </c>
      <c r="H47" t="n">
        <v>0</v>
      </c>
      <c r="I47" t="n">
        <v>0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s="2" t="inlineStr"/>
    </row>
    <row r="48" ht="15" customHeight="1">
      <c r="A48" t="inlineStr">
        <is>
          <t>A 27635-2021</t>
        </is>
      </c>
      <c r="B48" s="1" t="n">
        <v>44354</v>
      </c>
      <c r="C48" s="1" t="n">
        <v>45580</v>
      </c>
      <c r="D48" t="inlineStr">
        <is>
          <t>VÄSTRA GÖTALANDS LÄN</t>
        </is>
      </c>
      <c r="E48" t="inlineStr">
        <is>
          <t>GRÄSTORP</t>
        </is>
      </c>
      <c r="G48" t="n">
        <v>1.3</v>
      </c>
      <c r="H48" t="n">
        <v>0</v>
      </c>
      <c r="I48" t="n">
        <v>0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s="2" t="inlineStr"/>
    </row>
    <row r="49" ht="15" customHeight="1">
      <c r="A49" t="inlineStr">
        <is>
          <t>A 34000-2021</t>
        </is>
      </c>
      <c r="B49" s="1" t="n">
        <v>44379</v>
      </c>
      <c r="C49" s="1" t="n">
        <v>45580</v>
      </c>
      <c r="D49" t="inlineStr">
        <is>
          <t>VÄSTRA GÖTALANDS LÄN</t>
        </is>
      </c>
      <c r="E49" t="inlineStr">
        <is>
          <t>GRÄSTORP</t>
        </is>
      </c>
      <c r="G49" t="n">
        <v>0.5</v>
      </c>
      <c r="H49" t="n">
        <v>0</v>
      </c>
      <c r="I49" t="n">
        <v>0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s="2" t="inlineStr"/>
    </row>
    <row r="50" ht="15" customHeight="1">
      <c r="A50" t="inlineStr">
        <is>
          <t>A 35106-2021</t>
        </is>
      </c>
      <c r="B50" s="1" t="n">
        <v>44384</v>
      </c>
      <c r="C50" s="1" t="n">
        <v>45580</v>
      </c>
      <c r="D50" t="inlineStr">
        <is>
          <t>VÄSTRA GÖTALANDS LÄN</t>
        </is>
      </c>
      <c r="E50" t="inlineStr">
        <is>
          <t>GRÄSTORP</t>
        </is>
      </c>
      <c r="G50" t="n">
        <v>2.6</v>
      </c>
      <c r="H50" t="n">
        <v>0</v>
      </c>
      <c r="I50" t="n">
        <v>0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s="2" t="inlineStr"/>
    </row>
    <row r="51" ht="15" customHeight="1">
      <c r="A51" t="inlineStr">
        <is>
          <t>A 35107-2021</t>
        </is>
      </c>
      <c r="B51" s="1" t="n">
        <v>44384</v>
      </c>
      <c r="C51" s="1" t="n">
        <v>45580</v>
      </c>
      <c r="D51" t="inlineStr">
        <is>
          <t>VÄSTRA GÖTALANDS LÄN</t>
        </is>
      </c>
      <c r="E51" t="inlineStr">
        <is>
          <t>GRÄSTORP</t>
        </is>
      </c>
      <c r="G51" t="n">
        <v>1.4</v>
      </c>
      <c r="H51" t="n">
        <v>0</v>
      </c>
      <c r="I51" t="n">
        <v>0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s="2" t="inlineStr"/>
    </row>
    <row r="52" ht="15" customHeight="1">
      <c r="A52" t="inlineStr">
        <is>
          <t>A 37677-2021</t>
        </is>
      </c>
      <c r="B52" s="1" t="n">
        <v>44400</v>
      </c>
      <c r="C52" s="1" t="n">
        <v>45580</v>
      </c>
      <c r="D52" t="inlineStr">
        <is>
          <t>VÄSTRA GÖTALANDS LÄN</t>
        </is>
      </c>
      <c r="E52" t="inlineStr">
        <is>
          <t>GRÄSTORP</t>
        </is>
      </c>
      <c r="G52" t="n">
        <v>4.1</v>
      </c>
      <c r="H52" t="n">
        <v>0</v>
      </c>
      <c r="I52" t="n">
        <v>0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s="2" t="inlineStr"/>
    </row>
    <row r="53" ht="15" customHeight="1">
      <c r="A53" t="inlineStr">
        <is>
          <t>A 44785-2021</t>
        </is>
      </c>
      <c r="B53" s="1" t="n">
        <v>44438</v>
      </c>
      <c r="C53" s="1" t="n">
        <v>45580</v>
      </c>
      <c r="D53" t="inlineStr">
        <is>
          <t>VÄSTRA GÖTALANDS LÄN</t>
        </is>
      </c>
      <c r="E53" t="inlineStr">
        <is>
          <t>GRÄSTORP</t>
        </is>
      </c>
      <c r="G53" t="n">
        <v>5</v>
      </c>
      <c r="H53" t="n">
        <v>0</v>
      </c>
      <c r="I53" t="n">
        <v>0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s="2" t="inlineStr"/>
    </row>
    <row r="54" ht="15" customHeight="1">
      <c r="A54" t="inlineStr">
        <is>
          <t>A 58914-2021</t>
        </is>
      </c>
      <c r="B54" s="1" t="n">
        <v>44489</v>
      </c>
      <c r="C54" s="1" t="n">
        <v>45580</v>
      </c>
      <c r="D54" t="inlineStr">
        <is>
          <t>VÄSTRA GÖTALANDS LÄN</t>
        </is>
      </c>
      <c r="E54" t="inlineStr">
        <is>
          <t>GRÄSTORP</t>
        </is>
      </c>
      <c r="G54" t="n">
        <v>0.9</v>
      </c>
      <c r="H54" t="n">
        <v>0</v>
      </c>
      <c r="I54" t="n">
        <v>0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s="2" t="inlineStr"/>
    </row>
    <row r="55" ht="15" customHeight="1">
      <c r="A55" t="inlineStr">
        <is>
          <t>A 66967-2021</t>
        </is>
      </c>
      <c r="B55" s="1" t="n">
        <v>44522</v>
      </c>
      <c r="C55" s="1" t="n">
        <v>45580</v>
      </c>
      <c r="D55" t="inlineStr">
        <is>
          <t>VÄSTRA GÖTALANDS LÄN</t>
        </is>
      </c>
      <c r="E55" t="inlineStr">
        <is>
          <t>GRÄSTORP</t>
        </is>
      </c>
      <c r="G55" t="n">
        <v>0.5</v>
      </c>
      <c r="H55" t="n">
        <v>0</v>
      </c>
      <c r="I55" t="n">
        <v>0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s="2" t="inlineStr"/>
    </row>
    <row r="56" ht="15" customHeight="1">
      <c r="A56" t="inlineStr">
        <is>
          <t>A 8183-2022</t>
        </is>
      </c>
      <c r="B56" s="1" t="n">
        <v>44609</v>
      </c>
      <c r="C56" s="1" t="n">
        <v>45580</v>
      </c>
      <c r="D56" t="inlineStr">
        <is>
          <t>VÄSTRA GÖTALANDS LÄN</t>
        </is>
      </c>
      <c r="E56" t="inlineStr">
        <is>
          <t>GRÄSTORP</t>
        </is>
      </c>
      <c r="G56" t="n">
        <v>0</v>
      </c>
      <c r="H56" t="n">
        <v>0</v>
      </c>
      <c r="I56" t="n">
        <v>0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s="2" t="inlineStr"/>
    </row>
    <row r="57" ht="15" customHeight="1">
      <c r="A57" t="inlineStr">
        <is>
          <t>A 8567-2022</t>
        </is>
      </c>
      <c r="B57" s="1" t="n">
        <v>44613</v>
      </c>
      <c r="C57" s="1" t="n">
        <v>45580</v>
      </c>
      <c r="D57" t="inlineStr">
        <is>
          <t>VÄSTRA GÖTALANDS LÄN</t>
        </is>
      </c>
      <c r="E57" t="inlineStr">
        <is>
          <t>GRÄSTORP</t>
        </is>
      </c>
      <c r="G57" t="n">
        <v>2.8</v>
      </c>
      <c r="H57" t="n">
        <v>0</v>
      </c>
      <c r="I57" t="n">
        <v>0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s="2" t="inlineStr"/>
    </row>
    <row r="58" ht="15" customHeight="1">
      <c r="A58" t="inlineStr">
        <is>
          <t>A 11198-2022</t>
        </is>
      </c>
      <c r="B58" s="1" t="n">
        <v>44629</v>
      </c>
      <c r="C58" s="1" t="n">
        <v>45580</v>
      </c>
      <c r="D58" t="inlineStr">
        <is>
          <t>VÄSTRA GÖTALANDS LÄN</t>
        </is>
      </c>
      <c r="E58" t="inlineStr">
        <is>
          <t>GRÄSTORP</t>
        </is>
      </c>
      <c r="G58" t="n">
        <v>2.7</v>
      </c>
      <c r="H58" t="n">
        <v>0</v>
      </c>
      <c r="I58" t="n">
        <v>0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s="2" t="inlineStr"/>
    </row>
    <row r="59" ht="15" customHeight="1">
      <c r="A59" t="inlineStr">
        <is>
          <t>A 13049-2022</t>
        </is>
      </c>
      <c r="B59" s="1" t="n">
        <v>44643</v>
      </c>
      <c r="C59" s="1" t="n">
        <v>45580</v>
      </c>
      <c r="D59" t="inlineStr">
        <is>
          <t>VÄSTRA GÖTALANDS LÄN</t>
        </is>
      </c>
      <c r="E59" t="inlineStr">
        <is>
          <t>GRÄSTORP</t>
        </is>
      </c>
      <c r="G59" t="n">
        <v>1.1</v>
      </c>
      <c r="H59" t="n">
        <v>0</v>
      </c>
      <c r="I59" t="n">
        <v>0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s="2" t="inlineStr"/>
    </row>
    <row r="60" ht="15" customHeight="1">
      <c r="A60" t="inlineStr">
        <is>
          <t>A 15731-2022</t>
        </is>
      </c>
      <c r="B60" s="1" t="n">
        <v>44663</v>
      </c>
      <c r="C60" s="1" t="n">
        <v>45580</v>
      </c>
      <c r="D60" t="inlineStr">
        <is>
          <t>VÄSTRA GÖTALANDS LÄN</t>
        </is>
      </c>
      <c r="E60" t="inlineStr">
        <is>
          <t>GRÄSTORP</t>
        </is>
      </c>
      <c r="G60" t="n">
        <v>2.5</v>
      </c>
      <c r="H60" t="n">
        <v>0</v>
      </c>
      <c r="I60" t="n">
        <v>0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s="2" t="inlineStr"/>
    </row>
    <row r="61" ht="15" customHeight="1">
      <c r="A61" t="inlineStr">
        <is>
          <t>A 17666-2022</t>
        </is>
      </c>
      <c r="B61" s="1" t="n">
        <v>44680</v>
      </c>
      <c r="C61" s="1" t="n">
        <v>45580</v>
      </c>
      <c r="D61" t="inlineStr">
        <is>
          <t>VÄSTRA GÖTALANDS LÄN</t>
        </is>
      </c>
      <c r="E61" t="inlineStr">
        <is>
          <t>GRÄSTORP</t>
        </is>
      </c>
      <c r="G61" t="n">
        <v>1.6</v>
      </c>
      <c r="H61" t="n">
        <v>0</v>
      </c>
      <c r="I61" t="n">
        <v>0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s="2" t="inlineStr"/>
    </row>
    <row r="62" ht="15" customHeight="1">
      <c r="A62" t="inlineStr">
        <is>
          <t>A 23312-2022</t>
        </is>
      </c>
      <c r="B62" s="1" t="n">
        <v>44720</v>
      </c>
      <c r="C62" s="1" t="n">
        <v>45580</v>
      </c>
      <c r="D62" t="inlineStr">
        <is>
          <t>VÄSTRA GÖTALANDS LÄN</t>
        </is>
      </c>
      <c r="E62" t="inlineStr">
        <is>
          <t>GRÄSTORP</t>
        </is>
      </c>
      <c r="G62" t="n">
        <v>1</v>
      </c>
      <c r="H62" t="n">
        <v>0</v>
      </c>
      <c r="I62" t="n">
        <v>0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s="2" t="inlineStr"/>
    </row>
    <row r="63" ht="15" customHeight="1">
      <c r="A63" t="inlineStr">
        <is>
          <t>A 23944-2022</t>
        </is>
      </c>
      <c r="B63" s="1" t="n">
        <v>44722</v>
      </c>
      <c r="C63" s="1" t="n">
        <v>45580</v>
      </c>
      <c r="D63" t="inlineStr">
        <is>
          <t>VÄSTRA GÖTALANDS LÄN</t>
        </is>
      </c>
      <c r="E63" t="inlineStr">
        <is>
          <t>GRÄSTORP</t>
        </is>
      </c>
      <c r="G63" t="n">
        <v>3.8</v>
      </c>
      <c r="H63" t="n">
        <v>0</v>
      </c>
      <c r="I63" t="n">
        <v>0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s="2" t="inlineStr"/>
    </row>
    <row r="64" ht="15" customHeight="1">
      <c r="A64" t="inlineStr">
        <is>
          <t>A 24049-2022</t>
        </is>
      </c>
      <c r="B64" s="1" t="n">
        <v>44724</v>
      </c>
      <c r="C64" s="1" t="n">
        <v>45580</v>
      </c>
      <c r="D64" t="inlineStr">
        <is>
          <t>VÄSTRA GÖTALANDS LÄN</t>
        </is>
      </c>
      <c r="E64" t="inlineStr">
        <is>
          <t>GRÄSTORP</t>
        </is>
      </c>
      <c r="G64" t="n">
        <v>2.9</v>
      </c>
      <c r="H64" t="n">
        <v>0</v>
      </c>
      <c r="I64" t="n">
        <v>0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s="2" t="inlineStr"/>
    </row>
    <row r="65" ht="15" customHeight="1">
      <c r="A65" t="inlineStr">
        <is>
          <t>A 24047-2022</t>
        </is>
      </c>
      <c r="B65" s="1" t="n">
        <v>44724</v>
      </c>
      <c r="C65" s="1" t="n">
        <v>45580</v>
      </c>
      <c r="D65" t="inlineStr">
        <is>
          <t>VÄSTRA GÖTALANDS LÄN</t>
        </is>
      </c>
      <c r="E65" t="inlineStr">
        <is>
          <t>GRÄSTORP</t>
        </is>
      </c>
      <c r="G65" t="n">
        <v>0.7</v>
      </c>
      <c r="H65" t="n">
        <v>0</v>
      </c>
      <c r="I65" t="n">
        <v>0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s="2" t="inlineStr"/>
    </row>
    <row r="66" ht="15" customHeight="1">
      <c r="A66" t="inlineStr">
        <is>
          <t>A 24789-2022</t>
        </is>
      </c>
      <c r="B66" s="1" t="n">
        <v>44728</v>
      </c>
      <c r="C66" s="1" t="n">
        <v>45580</v>
      </c>
      <c r="D66" t="inlineStr">
        <is>
          <t>VÄSTRA GÖTALANDS LÄN</t>
        </is>
      </c>
      <c r="E66" t="inlineStr">
        <is>
          <t>GRÄSTORP</t>
        </is>
      </c>
      <c r="G66" t="n">
        <v>1.5</v>
      </c>
      <c r="H66" t="n">
        <v>0</v>
      </c>
      <c r="I66" t="n">
        <v>0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s="2" t="inlineStr"/>
    </row>
    <row r="67" ht="15" customHeight="1">
      <c r="A67" t="inlineStr">
        <is>
          <t>A 31073-2022</t>
        </is>
      </c>
      <c r="B67" s="1" t="n">
        <v>44769</v>
      </c>
      <c r="C67" s="1" t="n">
        <v>45580</v>
      </c>
      <c r="D67" t="inlineStr">
        <is>
          <t>VÄSTRA GÖTALANDS LÄN</t>
        </is>
      </c>
      <c r="E67" t="inlineStr">
        <is>
          <t>GRÄSTORP</t>
        </is>
      </c>
      <c r="G67" t="n">
        <v>1.1</v>
      </c>
      <c r="H67" t="n">
        <v>0</v>
      </c>
      <c r="I67" t="n">
        <v>0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s="2" t="inlineStr"/>
    </row>
    <row r="68" ht="15" customHeight="1">
      <c r="A68" t="inlineStr">
        <is>
          <t>A 31076-2022</t>
        </is>
      </c>
      <c r="B68" s="1" t="n">
        <v>44769</v>
      </c>
      <c r="C68" s="1" t="n">
        <v>45580</v>
      </c>
      <c r="D68" t="inlineStr">
        <is>
          <t>VÄSTRA GÖTALANDS LÄN</t>
        </is>
      </c>
      <c r="E68" t="inlineStr">
        <is>
          <t>GRÄSTORP</t>
        </is>
      </c>
      <c r="G68" t="n">
        <v>0.5</v>
      </c>
      <c r="H68" t="n">
        <v>0</v>
      </c>
      <c r="I68" t="n">
        <v>0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s="2" t="inlineStr"/>
    </row>
    <row r="69" ht="15" customHeight="1">
      <c r="A69" t="inlineStr">
        <is>
          <t>A 37103-2022</t>
        </is>
      </c>
      <c r="B69" s="1" t="n">
        <v>44806</v>
      </c>
      <c r="C69" s="1" t="n">
        <v>45580</v>
      </c>
      <c r="D69" t="inlineStr">
        <is>
          <t>VÄSTRA GÖTALANDS LÄN</t>
        </is>
      </c>
      <c r="E69" t="inlineStr">
        <is>
          <t>GRÄSTORP</t>
        </is>
      </c>
      <c r="G69" t="n">
        <v>5.2</v>
      </c>
      <c r="H69" t="n">
        <v>0</v>
      </c>
      <c r="I69" t="n">
        <v>0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s="2" t="inlineStr"/>
    </row>
    <row r="70" ht="15" customHeight="1">
      <c r="A70" t="inlineStr">
        <is>
          <t>A 37214-2022</t>
        </is>
      </c>
      <c r="B70" s="1" t="n">
        <v>44806</v>
      </c>
      <c r="C70" s="1" t="n">
        <v>45580</v>
      </c>
      <c r="D70" t="inlineStr">
        <is>
          <t>VÄSTRA GÖTALANDS LÄN</t>
        </is>
      </c>
      <c r="E70" t="inlineStr">
        <is>
          <t>GRÄSTORP</t>
        </is>
      </c>
      <c r="G70" t="n">
        <v>4.8</v>
      </c>
      <c r="H70" t="n">
        <v>0</v>
      </c>
      <c r="I70" t="n">
        <v>0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s="2" t="inlineStr"/>
    </row>
    <row r="71" ht="15" customHeight="1">
      <c r="A71" t="inlineStr">
        <is>
          <t>A 37286-2022</t>
        </is>
      </c>
      <c r="B71" s="1" t="n">
        <v>44808</v>
      </c>
      <c r="C71" s="1" t="n">
        <v>45580</v>
      </c>
      <c r="D71" t="inlineStr">
        <is>
          <t>VÄSTRA GÖTALANDS LÄN</t>
        </is>
      </c>
      <c r="E71" t="inlineStr">
        <is>
          <t>GRÄSTORP</t>
        </is>
      </c>
      <c r="G71" t="n">
        <v>5.1</v>
      </c>
      <c r="H71" t="n">
        <v>0</v>
      </c>
      <c r="I71" t="n">
        <v>0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s="2" t="inlineStr"/>
    </row>
    <row r="72" ht="15" customHeight="1">
      <c r="A72" t="inlineStr">
        <is>
          <t>A 38064-2022</t>
        </is>
      </c>
      <c r="B72" s="1" t="n">
        <v>44811</v>
      </c>
      <c r="C72" s="1" t="n">
        <v>45580</v>
      </c>
      <c r="D72" t="inlineStr">
        <is>
          <t>VÄSTRA GÖTALANDS LÄN</t>
        </is>
      </c>
      <c r="E72" t="inlineStr">
        <is>
          <t>GRÄSTORP</t>
        </is>
      </c>
      <c r="G72" t="n">
        <v>1.5</v>
      </c>
      <c r="H72" t="n">
        <v>0</v>
      </c>
      <c r="I72" t="n">
        <v>0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s="2" t="inlineStr"/>
    </row>
    <row r="73" ht="15" customHeight="1">
      <c r="A73" t="inlineStr">
        <is>
          <t>A 38058-2022</t>
        </is>
      </c>
      <c r="B73" s="1" t="n">
        <v>44811</v>
      </c>
      <c r="C73" s="1" t="n">
        <v>45580</v>
      </c>
      <c r="D73" t="inlineStr">
        <is>
          <t>VÄSTRA GÖTALANDS LÄN</t>
        </is>
      </c>
      <c r="E73" t="inlineStr">
        <is>
          <t>GRÄSTORP</t>
        </is>
      </c>
      <c r="G73" t="n">
        <v>2</v>
      </c>
      <c r="H73" t="n">
        <v>0</v>
      </c>
      <c r="I73" t="n">
        <v>0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s="2" t="inlineStr"/>
    </row>
    <row r="74" ht="15" customHeight="1">
      <c r="A74" t="inlineStr">
        <is>
          <t>A 38061-2022</t>
        </is>
      </c>
      <c r="B74" s="1" t="n">
        <v>44811</v>
      </c>
      <c r="C74" s="1" t="n">
        <v>45580</v>
      </c>
      <c r="D74" t="inlineStr">
        <is>
          <t>VÄSTRA GÖTALANDS LÄN</t>
        </is>
      </c>
      <c r="E74" t="inlineStr">
        <is>
          <t>GRÄSTORP</t>
        </is>
      </c>
      <c r="G74" t="n">
        <v>6.7</v>
      </c>
      <c r="H74" t="n">
        <v>0</v>
      </c>
      <c r="I74" t="n">
        <v>0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s="2" t="inlineStr"/>
    </row>
    <row r="75" ht="15" customHeight="1">
      <c r="A75" t="inlineStr">
        <is>
          <t>A 42169-2022</t>
        </is>
      </c>
      <c r="B75" s="1" t="n">
        <v>44830</v>
      </c>
      <c r="C75" s="1" t="n">
        <v>45580</v>
      </c>
      <c r="D75" t="inlineStr">
        <is>
          <t>VÄSTRA GÖTALANDS LÄN</t>
        </is>
      </c>
      <c r="E75" t="inlineStr">
        <is>
          <t>GRÄSTORP</t>
        </is>
      </c>
      <c r="G75" t="n">
        <v>0.8</v>
      </c>
      <c r="H75" t="n">
        <v>0</v>
      </c>
      <c r="I75" t="n">
        <v>0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s="2" t="inlineStr"/>
    </row>
    <row r="76" ht="15" customHeight="1">
      <c r="A76" t="inlineStr">
        <is>
          <t>A 43924-2022</t>
        </is>
      </c>
      <c r="B76" s="1" t="n">
        <v>44838</v>
      </c>
      <c r="C76" s="1" t="n">
        <v>45580</v>
      </c>
      <c r="D76" t="inlineStr">
        <is>
          <t>VÄSTRA GÖTALANDS LÄN</t>
        </is>
      </c>
      <c r="E76" t="inlineStr">
        <is>
          <t>GRÄSTORP</t>
        </is>
      </c>
      <c r="G76" t="n">
        <v>2</v>
      </c>
      <c r="H76" t="n">
        <v>0</v>
      </c>
      <c r="I76" t="n">
        <v>0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s="2" t="inlineStr"/>
    </row>
    <row r="77" ht="15" customHeight="1">
      <c r="A77" t="inlineStr">
        <is>
          <t>A 44601-2022</t>
        </is>
      </c>
      <c r="B77" s="1" t="n">
        <v>44840</v>
      </c>
      <c r="C77" s="1" t="n">
        <v>45580</v>
      </c>
      <c r="D77" t="inlineStr">
        <is>
          <t>VÄSTRA GÖTALANDS LÄN</t>
        </is>
      </c>
      <c r="E77" t="inlineStr">
        <is>
          <t>GRÄSTORP</t>
        </is>
      </c>
      <c r="G77" t="n">
        <v>0.8</v>
      </c>
      <c r="H77" t="n">
        <v>0</v>
      </c>
      <c r="I77" t="n">
        <v>0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s="2" t="inlineStr"/>
    </row>
    <row r="78" ht="15" customHeight="1">
      <c r="A78" t="inlineStr">
        <is>
          <t>A 45993-2022</t>
        </is>
      </c>
      <c r="B78" s="1" t="n">
        <v>44846</v>
      </c>
      <c r="C78" s="1" t="n">
        <v>45580</v>
      </c>
      <c r="D78" t="inlineStr">
        <is>
          <t>VÄSTRA GÖTALANDS LÄN</t>
        </is>
      </c>
      <c r="E78" t="inlineStr">
        <is>
          <t>GRÄSTORP</t>
        </is>
      </c>
      <c r="G78" t="n">
        <v>1.2</v>
      </c>
      <c r="H78" t="n">
        <v>0</v>
      </c>
      <c r="I78" t="n">
        <v>0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s="2" t="inlineStr"/>
    </row>
    <row r="79" ht="15" customHeight="1">
      <c r="A79" t="inlineStr">
        <is>
          <t>A 45992-2022</t>
        </is>
      </c>
      <c r="B79" s="1" t="n">
        <v>44846</v>
      </c>
      <c r="C79" s="1" t="n">
        <v>45580</v>
      </c>
      <c r="D79" t="inlineStr">
        <is>
          <t>VÄSTRA GÖTALANDS LÄN</t>
        </is>
      </c>
      <c r="E79" t="inlineStr">
        <is>
          <t>GRÄSTORP</t>
        </is>
      </c>
      <c r="G79" t="n">
        <v>2.3</v>
      </c>
      <c r="H79" t="n">
        <v>0</v>
      </c>
      <c r="I79" t="n">
        <v>0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s="2" t="inlineStr"/>
    </row>
    <row r="80" ht="15" customHeight="1">
      <c r="A80" t="inlineStr">
        <is>
          <t>A 48815-2022</t>
        </is>
      </c>
      <c r="B80" s="1" t="n">
        <v>44859</v>
      </c>
      <c r="C80" s="1" t="n">
        <v>45580</v>
      </c>
      <c r="D80" t="inlineStr">
        <is>
          <t>VÄSTRA GÖTALANDS LÄN</t>
        </is>
      </c>
      <c r="E80" t="inlineStr">
        <is>
          <t>GRÄSTORP</t>
        </is>
      </c>
      <c r="F80" t="inlineStr">
        <is>
          <t>Kyrkan</t>
        </is>
      </c>
      <c r="G80" t="n">
        <v>5.1</v>
      </c>
      <c r="H80" t="n">
        <v>0</v>
      </c>
      <c r="I80" t="n">
        <v>0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s="2" t="inlineStr"/>
    </row>
    <row r="81" ht="15" customHeight="1">
      <c r="A81" t="inlineStr">
        <is>
          <t>A 49273-2022</t>
        </is>
      </c>
      <c r="B81" s="1" t="n">
        <v>44861</v>
      </c>
      <c r="C81" s="1" t="n">
        <v>45580</v>
      </c>
      <c r="D81" t="inlineStr">
        <is>
          <t>VÄSTRA GÖTALANDS LÄN</t>
        </is>
      </c>
      <c r="E81" t="inlineStr">
        <is>
          <t>GRÄSTORP</t>
        </is>
      </c>
      <c r="G81" t="n">
        <v>0.4</v>
      </c>
      <c r="H81" t="n">
        <v>0</v>
      </c>
      <c r="I81" t="n">
        <v>0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s="2" t="inlineStr"/>
    </row>
    <row r="82" ht="15" customHeight="1">
      <c r="A82" t="inlineStr">
        <is>
          <t>A 49270-2022</t>
        </is>
      </c>
      <c r="B82" s="1" t="n">
        <v>44861</v>
      </c>
      <c r="C82" s="1" t="n">
        <v>45580</v>
      </c>
      <c r="D82" t="inlineStr">
        <is>
          <t>VÄSTRA GÖTALANDS LÄN</t>
        </is>
      </c>
      <c r="E82" t="inlineStr">
        <is>
          <t>GRÄSTORP</t>
        </is>
      </c>
      <c r="G82" t="n">
        <v>4.9</v>
      </c>
      <c r="H82" t="n">
        <v>0</v>
      </c>
      <c r="I82" t="n">
        <v>0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s="2" t="inlineStr"/>
    </row>
    <row r="83" ht="15" customHeight="1">
      <c r="A83" t="inlineStr">
        <is>
          <t>A 49621-2022</t>
        </is>
      </c>
      <c r="B83" s="1" t="n">
        <v>44862</v>
      </c>
      <c r="C83" s="1" t="n">
        <v>45580</v>
      </c>
      <c r="D83" t="inlineStr">
        <is>
          <t>VÄSTRA GÖTALANDS LÄN</t>
        </is>
      </c>
      <c r="E83" t="inlineStr">
        <is>
          <t>GRÄSTORP</t>
        </is>
      </c>
      <c r="G83" t="n">
        <v>4.9</v>
      </c>
      <c r="H83" t="n">
        <v>0</v>
      </c>
      <c r="I83" t="n">
        <v>0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s="2" t="inlineStr"/>
    </row>
    <row r="84" ht="15" customHeight="1">
      <c r="A84" t="inlineStr">
        <is>
          <t>A 52959-2022</t>
        </is>
      </c>
      <c r="B84" s="1" t="n">
        <v>44875</v>
      </c>
      <c r="C84" s="1" t="n">
        <v>45580</v>
      </c>
      <c r="D84" t="inlineStr">
        <is>
          <t>VÄSTRA GÖTALANDS LÄN</t>
        </is>
      </c>
      <c r="E84" t="inlineStr">
        <is>
          <t>GRÄSTORP</t>
        </is>
      </c>
      <c r="G84" t="n">
        <v>7.9</v>
      </c>
      <c r="H84" t="n">
        <v>0</v>
      </c>
      <c r="I84" t="n">
        <v>0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s="2" t="inlineStr"/>
    </row>
    <row r="85" ht="15" customHeight="1">
      <c r="A85" t="inlineStr">
        <is>
          <t>A 58229-2022</t>
        </is>
      </c>
      <c r="B85" s="1" t="n">
        <v>44901</v>
      </c>
      <c r="C85" s="1" t="n">
        <v>45580</v>
      </c>
      <c r="D85" t="inlineStr">
        <is>
          <t>VÄSTRA GÖTALANDS LÄN</t>
        </is>
      </c>
      <c r="E85" t="inlineStr">
        <is>
          <t>GRÄSTORP</t>
        </is>
      </c>
      <c r="G85" t="n">
        <v>2.9</v>
      </c>
      <c r="H85" t="n">
        <v>0</v>
      </c>
      <c r="I85" t="n">
        <v>0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s="2" t="inlineStr"/>
    </row>
    <row r="86" ht="15" customHeight="1">
      <c r="A86" t="inlineStr">
        <is>
          <t>A 59569-2022</t>
        </is>
      </c>
      <c r="B86" s="1" t="n">
        <v>44907</v>
      </c>
      <c r="C86" s="1" t="n">
        <v>45580</v>
      </c>
      <c r="D86" t="inlineStr">
        <is>
          <t>VÄSTRA GÖTALANDS LÄN</t>
        </is>
      </c>
      <c r="E86" t="inlineStr">
        <is>
          <t>GRÄSTORP</t>
        </is>
      </c>
      <c r="G86" t="n">
        <v>2.1</v>
      </c>
      <c r="H86" t="n">
        <v>0</v>
      </c>
      <c r="I86" t="n">
        <v>0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s="2" t="inlineStr"/>
    </row>
    <row r="87" ht="15" customHeight="1">
      <c r="A87" t="inlineStr">
        <is>
          <t>A 16011-2023</t>
        </is>
      </c>
      <c r="B87" s="1" t="n">
        <v>45026</v>
      </c>
      <c r="C87" s="1" t="n">
        <v>45580</v>
      </c>
      <c r="D87" t="inlineStr">
        <is>
          <t>VÄSTRA GÖTALANDS LÄN</t>
        </is>
      </c>
      <c r="E87" t="inlineStr">
        <is>
          <t>GRÄSTORP</t>
        </is>
      </c>
      <c r="G87" t="n">
        <v>4</v>
      </c>
      <c r="H87" t="n">
        <v>0</v>
      </c>
      <c r="I87" t="n">
        <v>0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s="2" t="inlineStr"/>
    </row>
    <row r="88" ht="15" customHeight="1">
      <c r="A88" t="inlineStr">
        <is>
          <t>A 20198-2023</t>
        </is>
      </c>
      <c r="B88" s="1" t="n">
        <v>45055</v>
      </c>
      <c r="C88" s="1" t="n">
        <v>45580</v>
      </c>
      <c r="D88" t="inlineStr">
        <is>
          <t>VÄSTRA GÖTALANDS LÄN</t>
        </is>
      </c>
      <c r="E88" t="inlineStr">
        <is>
          <t>GRÄSTORP</t>
        </is>
      </c>
      <c r="G88" t="n">
        <v>1.6</v>
      </c>
      <c r="H88" t="n">
        <v>0</v>
      </c>
      <c r="I88" t="n">
        <v>0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s="2" t="inlineStr"/>
    </row>
    <row r="89" ht="15" customHeight="1">
      <c r="A89" t="inlineStr">
        <is>
          <t>A 24930-2023</t>
        </is>
      </c>
      <c r="B89" s="1" t="n">
        <v>45085</v>
      </c>
      <c r="C89" s="1" t="n">
        <v>45580</v>
      </c>
      <c r="D89" t="inlineStr">
        <is>
          <t>VÄSTRA GÖTALANDS LÄN</t>
        </is>
      </c>
      <c r="E89" t="inlineStr">
        <is>
          <t>GRÄSTORP</t>
        </is>
      </c>
      <c r="G89" t="n">
        <v>21.8</v>
      </c>
      <c r="H89" t="n">
        <v>0</v>
      </c>
      <c r="I89" t="n">
        <v>0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s="2" t="inlineStr"/>
    </row>
    <row r="90" ht="15" customHeight="1">
      <c r="A90" t="inlineStr">
        <is>
          <t>A 24985-2023</t>
        </is>
      </c>
      <c r="B90" s="1" t="n">
        <v>45085</v>
      </c>
      <c r="C90" s="1" t="n">
        <v>45580</v>
      </c>
      <c r="D90" t="inlineStr">
        <is>
          <t>VÄSTRA GÖTALANDS LÄN</t>
        </is>
      </c>
      <c r="E90" t="inlineStr">
        <is>
          <t>GRÄSTORP</t>
        </is>
      </c>
      <c r="G90" t="n">
        <v>7.4</v>
      </c>
      <c r="H90" t="n">
        <v>0</v>
      </c>
      <c r="I90" t="n">
        <v>0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s="2" t="inlineStr"/>
    </row>
    <row r="91" ht="15" customHeight="1">
      <c r="A91" t="inlineStr">
        <is>
          <t>A 26211-2023</t>
        </is>
      </c>
      <c r="B91" s="1" t="n">
        <v>45091</v>
      </c>
      <c r="C91" s="1" t="n">
        <v>45580</v>
      </c>
      <c r="D91" t="inlineStr">
        <is>
          <t>VÄSTRA GÖTALANDS LÄN</t>
        </is>
      </c>
      <c r="E91" t="inlineStr">
        <is>
          <t>GRÄSTORP</t>
        </is>
      </c>
      <c r="G91" t="n">
        <v>1</v>
      </c>
      <c r="H91" t="n">
        <v>0</v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s="2" t="inlineStr"/>
    </row>
    <row r="92" ht="15" customHeight="1">
      <c r="A92" t="inlineStr">
        <is>
          <t>A 33143-2023</t>
        </is>
      </c>
      <c r="B92" s="1" t="n">
        <v>45112</v>
      </c>
      <c r="C92" s="1" t="n">
        <v>45580</v>
      </c>
      <c r="D92" t="inlineStr">
        <is>
          <t>VÄSTRA GÖTALANDS LÄN</t>
        </is>
      </c>
      <c r="E92" t="inlineStr">
        <is>
          <t>GRÄSTORP</t>
        </is>
      </c>
      <c r="G92" t="n">
        <v>1.8</v>
      </c>
      <c r="H92" t="n">
        <v>0</v>
      </c>
      <c r="I92" t="n">
        <v>0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s="2" t="inlineStr"/>
    </row>
    <row r="93" ht="15" customHeight="1">
      <c r="A93" t="inlineStr">
        <is>
          <t>A 33145-2023</t>
        </is>
      </c>
      <c r="B93" s="1" t="n">
        <v>45112</v>
      </c>
      <c r="C93" s="1" t="n">
        <v>45580</v>
      </c>
      <c r="D93" t="inlineStr">
        <is>
          <t>VÄSTRA GÖTALANDS LÄN</t>
        </is>
      </c>
      <c r="E93" t="inlineStr">
        <is>
          <t>GRÄSTORP</t>
        </is>
      </c>
      <c r="G93" t="n">
        <v>1</v>
      </c>
      <c r="H93" t="n">
        <v>0</v>
      </c>
      <c r="I93" t="n">
        <v>0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s="2" t="inlineStr"/>
    </row>
    <row r="94" ht="15" customHeight="1">
      <c r="A94" t="inlineStr">
        <is>
          <t>A 33090-2023</t>
        </is>
      </c>
      <c r="B94" s="1" t="n">
        <v>45126</v>
      </c>
      <c r="C94" s="1" t="n">
        <v>45580</v>
      </c>
      <c r="D94" t="inlineStr">
        <is>
          <t>VÄSTRA GÖTALANDS LÄN</t>
        </is>
      </c>
      <c r="E94" t="inlineStr">
        <is>
          <t>GRÄSTORP</t>
        </is>
      </c>
      <c r="G94" t="n">
        <v>1.4</v>
      </c>
      <c r="H94" t="n">
        <v>0</v>
      </c>
      <c r="I94" t="n">
        <v>0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s="2" t="inlineStr"/>
    </row>
    <row r="95" ht="15" customHeight="1">
      <c r="A95" t="inlineStr">
        <is>
          <t>A 33957-2023</t>
        </is>
      </c>
      <c r="B95" s="1" t="n">
        <v>45134</v>
      </c>
      <c r="C95" s="1" t="n">
        <v>45580</v>
      </c>
      <c r="D95" t="inlineStr">
        <is>
          <t>VÄSTRA GÖTALANDS LÄN</t>
        </is>
      </c>
      <c r="E95" t="inlineStr">
        <is>
          <t>GRÄSTORP</t>
        </is>
      </c>
      <c r="G95" t="n">
        <v>1.1</v>
      </c>
      <c r="H95" t="n">
        <v>0</v>
      </c>
      <c r="I95" t="n">
        <v>0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s="2" t="inlineStr"/>
    </row>
    <row r="96" ht="15" customHeight="1">
      <c r="A96" t="inlineStr">
        <is>
          <t>A 35381-2023</t>
        </is>
      </c>
      <c r="B96" s="1" t="n">
        <v>45146</v>
      </c>
      <c r="C96" s="1" t="n">
        <v>45580</v>
      </c>
      <c r="D96" t="inlineStr">
        <is>
          <t>VÄSTRA GÖTALANDS LÄN</t>
        </is>
      </c>
      <c r="E96" t="inlineStr">
        <is>
          <t>GRÄSTORP</t>
        </is>
      </c>
      <c r="G96" t="n">
        <v>2.2</v>
      </c>
      <c r="H96" t="n">
        <v>0</v>
      </c>
      <c r="I96" t="n">
        <v>0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s="2" t="inlineStr"/>
    </row>
    <row r="97" ht="15" customHeight="1">
      <c r="A97" t="inlineStr">
        <is>
          <t>A 35394-2023</t>
        </is>
      </c>
      <c r="B97" s="1" t="n">
        <v>45146</v>
      </c>
      <c r="C97" s="1" t="n">
        <v>45580</v>
      </c>
      <c r="D97" t="inlineStr">
        <is>
          <t>VÄSTRA GÖTALANDS LÄN</t>
        </is>
      </c>
      <c r="E97" t="inlineStr">
        <is>
          <t>GRÄSTORP</t>
        </is>
      </c>
      <c r="G97" t="n">
        <v>2.5</v>
      </c>
      <c r="H97" t="n">
        <v>0</v>
      </c>
      <c r="I97" t="n">
        <v>0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s="2" t="inlineStr"/>
    </row>
    <row r="98" ht="15" customHeight="1">
      <c r="A98" t="inlineStr">
        <is>
          <t>A 35515-2023</t>
        </is>
      </c>
      <c r="B98" s="1" t="n">
        <v>45147</v>
      </c>
      <c r="C98" s="1" t="n">
        <v>45580</v>
      </c>
      <c r="D98" t="inlineStr">
        <is>
          <t>VÄSTRA GÖTALANDS LÄN</t>
        </is>
      </c>
      <c r="E98" t="inlineStr">
        <is>
          <t>GRÄSTORP</t>
        </is>
      </c>
      <c r="G98" t="n">
        <v>3.9</v>
      </c>
      <c r="H98" t="n">
        <v>0</v>
      </c>
      <c r="I98" t="n">
        <v>0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s="2" t="inlineStr"/>
    </row>
    <row r="99" ht="15" customHeight="1">
      <c r="A99" t="inlineStr">
        <is>
          <t>A 39667-2023</t>
        </is>
      </c>
      <c r="B99" s="1" t="n">
        <v>45166</v>
      </c>
      <c r="C99" s="1" t="n">
        <v>45580</v>
      </c>
      <c r="D99" t="inlineStr">
        <is>
          <t>VÄSTRA GÖTALANDS LÄN</t>
        </is>
      </c>
      <c r="E99" t="inlineStr">
        <is>
          <t>GRÄSTORP</t>
        </is>
      </c>
      <c r="G99" t="n">
        <v>5.2</v>
      </c>
      <c r="H99" t="n">
        <v>0</v>
      </c>
      <c r="I99" t="n">
        <v>0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s="2" t="inlineStr"/>
    </row>
    <row r="100" ht="15" customHeight="1">
      <c r="A100" t="inlineStr">
        <is>
          <t>A 40126-2023</t>
        </is>
      </c>
      <c r="B100" s="1" t="n">
        <v>45169</v>
      </c>
      <c r="C100" s="1" t="n">
        <v>45580</v>
      </c>
      <c r="D100" t="inlineStr">
        <is>
          <t>VÄSTRA GÖTALANDS LÄN</t>
        </is>
      </c>
      <c r="E100" t="inlineStr">
        <is>
          <t>GRÄSTORP</t>
        </is>
      </c>
      <c r="G100" t="n">
        <v>2.5</v>
      </c>
      <c r="H100" t="n">
        <v>0</v>
      </c>
      <c r="I100" t="n">
        <v>0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s="2" t="inlineStr"/>
    </row>
    <row r="101" ht="15" customHeight="1">
      <c r="A101" t="inlineStr">
        <is>
          <t>A 40655-2023</t>
        </is>
      </c>
      <c r="B101" s="1" t="n">
        <v>45170</v>
      </c>
      <c r="C101" s="1" t="n">
        <v>45580</v>
      </c>
      <c r="D101" t="inlineStr">
        <is>
          <t>VÄSTRA GÖTALANDS LÄN</t>
        </is>
      </c>
      <c r="E101" t="inlineStr">
        <is>
          <t>GRÄSTORP</t>
        </is>
      </c>
      <c r="G101" t="n">
        <v>2.6</v>
      </c>
      <c r="H101" t="n">
        <v>0</v>
      </c>
      <c r="I101" t="n">
        <v>0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s="2" t="inlineStr"/>
    </row>
    <row r="102" ht="15" customHeight="1">
      <c r="A102" t="inlineStr">
        <is>
          <t>A 45729-2023</t>
        </is>
      </c>
      <c r="B102" s="1" t="n">
        <v>45195</v>
      </c>
      <c r="C102" s="1" t="n">
        <v>45580</v>
      </c>
      <c r="D102" t="inlineStr">
        <is>
          <t>VÄSTRA GÖTALANDS LÄN</t>
        </is>
      </c>
      <c r="E102" t="inlineStr">
        <is>
          <t>GRÄSTORP</t>
        </is>
      </c>
      <c r="G102" t="n">
        <v>26.2</v>
      </c>
      <c r="H102" t="n">
        <v>0</v>
      </c>
      <c r="I102" t="n">
        <v>0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s="2" t="inlineStr"/>
    </row>
    <row r="103" ht="15" customHeight="1">
      <c r="A103" t="inlineStr">
        <is>
          <t>A 45722-2023</t>
        </is>
      </c>
      <c r="B103" s="1" t="n">
        <v>45195</v>
      </c>
      <c r="C103" s="1" t="n">
        <v>45580</v>
      </c>
      <c r="D103" t="inlineStr">
        <is>
          <t>VÄSTRA GÖTALANDS LÄN</t>
        </is>
      </c>
      <c r="E103" t="inlineStr">
        <is>
          <t>GRÄSTORP</t>
        </is>
      </c>
      <c r="G103" t="n">
        <v>2.5</v>
      </c>
      <c r="H103" t="n">
        <v>0</v>
      </c>
      <c r="I103" t="n">
        <v>0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s="2" t="inlineStr"/>
    </row>
    <row r="104" ht="15" customHeight="1">
      <c r="A104" t="inlineStr">
        <is>
          <t>A 45721-2023</t>
        </is>
      </c>
      <c r="B104" s="1" t="n">
        <v>45195</v>
      </c>
      <c r="C104" s="1" t="n">
        <v>45580</v>
      </c>
      <c r="D104" t="inlineStr">
        <is>
          <t>VÄSTRA GÖTALANDS LÄN</t>
        </is>
      </c>
      <c r="E104" t="inlineStr">
        <is>
          <t>GRÄSTORP</t>
        </is>
      </c>
      <c r="G104" t="n">
        <v>2.1</v>
      </c>
      <c r="H104" t="n">
        <v>0</v>
      </c>
      <c r="I104" t="n">
        <v>0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s="2" t="inlineStr"/>
    </row>
    <row r="105" ht="15" customHeight="1">
      <c r="A105" t="inlineStr">
        <is>
          <t>A 46467-2023</t>
        </is>
      </c>
      <c r="B105" s="1" t="n">
        <v>45197</v>
      </c>
      <c r="C105" s="1" t="n">
        <v>45580</v>
      </c>
      <c r="D105" t="inlineStr">
        <is>
          <t>VÄSTRA GÖTALANDS LÄN</t>
        </is>
      </c>
      <c r="E105" t="inlineStr">
        <is>
          <t>GRÄSTORP</t>
        </is>
      </c>
      <c r="G105" t="n">
        <v>2.7</v>
      </c>
      <c r="H105" t="n">
        <v>0</v>
      </c>
      <c r="I105" t="n">
        <v>0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s="2" t="inlineStr"/>
    </row>
    <row r="106" ht="15" customHeight="1">
      <c r="A106" t="inlineStr">
        <is>
          <t>A 47995-2023</t>
        </is>
      </c>
      <c r="B106" s="1" t="n">
        <v>45204</v>
      </c>
      <c r="C106" s="1" t="n">
        <v>45580</v>
      </c>
      <c r="D106" t="inlineStr">
        <is>
          <t>VÄSTRA GÖTALANDS LÄN</t>
        </is>
      </c>
      <c r="E106" t="inlineStr">
        <is>
          <t>GRÄSTORP</t>
        </is>
      </c>
      <c r="G106" t="n">
        <v>3.5</v>
      </c>
      <c r="H106" t="n">
        <v>0</v>
      </c>
      <c r="I106" t="n">
        <v>0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s="2" t="inlineStr"/>
    </row>
    <row r="107" ht="15" customHeight="1">
      <c r="A107" t="inlineStr">
        <is>
          <t>A 48596-2023</t>
        </is>
      </c>
      <c r="B107" s="1" t="n">
        <v>45208</v>
      </c>
      <c r="C107" s="1" t="n">
        <v>45580</v>
      </c>
      <c r="D107" t="inlineStr">
        <is>
          <t>VÄSTRA GÖTALANDS LÄN</t>
        </is>
      </c>
      <c r="E107" t="inlineStr">
        <is>
          <t>GRÄSTORP</t>
        </is>
      </c>
      <c r="G107" t="n">
        <v>1</v>
      </c>
      <c r="H107" t="n">
        <v>0</v>
      </c>
      <c r="I107" t="n">
        <v>0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s="2" t="inlineStr"/>
    </row>
    <row r="108" ht="15" customHeight="1">
      <c r="A108" t="inlineStr">
        <is>
          <t>A 51534-2023</t>
        </is>
      </c>
      <c r="B108" s="1" t="n">
        <v>45222</v>
      </c>
      <c r="C108" s="1" t="n">
        <v>45580</v>
      </c>
      <c r="D108" t="inlineStr">
        <is>
          <t>VÄSTRA GÖTALANDS LÄN</t>
        </is>
      </c>
      <c r="E108" t="inlineStr">
        <is>
          <t>GRÄSTORP</t>
        </is>
      </c>
      <c r="G108" t="n">
        <v>3.3</v>
      </c>
      <c r="H108" t="n">
        <v>0</v>
      </c>
      <c r="I108" t="n">
        <v>0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s="2" t="inlineStr"/>
    </row>
    <row r="109" ht="15" customHeight="1">
      <c r="A109" t="inlineStr">
        <is>
          <t>A 51671-2023</t>
        </is>
      </c>
      <c r="B109" s="1" t="n">
        <v>45222</v>
      </c>
      <c r="C109" s="1" t="n">
        <v>45580</v>
      </c>
      <c r="D109" t="inlineStr">
        <is>
          <t>VÄSTRA GÖTALANDS LÄN</t>
        </is>
      </c>
      <c r="E109" t="inlineStr">
        <is>
          <t>GRÄSTORP</t>
        </is>
      </c>
      <c r="G109" t="n">
        <v>10.2</v>
      </c>
      <c r="H109" t="n">
        <v>0</v>
      </c>
      <c r="I109" t="n">
        <v>0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s="2" t="inlineStr"/>
    </row>
    <row r="110" ht="15" customHeight="1">
      <c r="A110" t="inlineStr">
        <is>
          <t>A 51893-2023</t>
        </is>
      </c>
      <c r="B110" s="1" t="n">
        <v>45223</v>
      </c>
      <c r="C110" s="1" t="n">
        <v>45580</v>
      </c>
      <c r="D110" t="inlineStr">
        <is>
          <t>VÄSTRA GÖTALANDS LÄN</t>
        </is>
      </c>
      <c r="E110" t="inlineStr">
        <is>
          <t>GRÄSTORP</t>
        </is>
      </c>
      <c r="G110" t="n">
        <v>3.5</v>
      </c>
      <c r="H110" t="n">
        <v>0</v>
      </c>
      <c r="I110" t="n">
        <v>0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s="2" t="inlineStr"/>
    </row>
    <row r="111" ht="15" customHeight="1">
      <c r="A111" t="inlineStr">
        <is>
          <t>A 59446-2023</t>
        </is>
      </c>
      <c r="B111" s="1" t="n">
        <v>45254</v>
      </c>
      <c r="C111" s="1" t="n">
        <v>45580</v>
      </c>
      <c r="D111" t="inlineStr">
        <is>
          <t>VÄSTRA GÖTALANDS LÄN</t>
        </is>
      </c>
      <c r="E111" t="inlineStr">
        <is>
          <t>GRÄSTORP</t>
        </is>
      </c>
      <c r="G111" t="n">
        <v>5.2</v>
      </c>
      <c r="H111" t="n">
        <v>0</v>
      </c>
      <c r="I111" t="n">
        <v>0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s="2" t="inlineStr"/>
    </row>
    <row r="112" ht="15" customHeight="1">
      <c r="A112" t="inlineStr">
        <is>
          <t>A 61552-2023</t>
        </is>
      </c>
      <c r="B112" s="1" t="n">
        <v>45265</v>
      </c>
      <c r="C112" s="1" t="n">
        <v>45580</v>
      </c>
      <c r="D112" t="inlineStr">
        <is>
          <t>VÄSTRA GÖTALANDS LÄN</t>
        </is>
      </c>
      <c r="E112" t="inlineStr">
        <is>
          <t>GRÄSTORP</t>
        </is>
      </c>
      <c r="G112" t="n">
        <v>2</v>
      </c>
      <c r="H112" t="n">
        <v>0</v>
      </c>
      <c r="I112" t="n">
        <v>0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s="2" t="inlineStr"/>
    </row>
    <row r="113" ht="15" customHeight="1">
      <c r="A113" t="inlineStr">
        <is>
          <t>A 3137-2024</t>
        </is>
      </c>
      <c r="B113" s="1" t="n">
        <v>45316</v>
      </c>
      <c r="C113" s="1" t="n">
        <v>45580</v>
      </c>
      <c r="D113" t="inlineStr">
        <is>
          <t>VÄSTRA GÖTALANDS LÄN</t>
        </is>
      </c>
      <c r="E113" t="inlineStr">
        <is>
          <t>GRÄSTORP</t>
        </is>
      </c>
      <c r="G113" t="n">
        <v>2.3</v>
      </c>
      <c r="H113" t="n">
        <v>0</v>
      </c>
      <c r="I113" t="n">
        <v>0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s="2" t="inlineStr"/>
    </row>
    <row r="114" ht="15" customHeight="1">
      <c r="A114" t="inlineStr">
        <is>
          <t>A 8457-2024</t>
        </is>
      </c>
      <c r="B114" s="1" t="n">
        <v>45355</v>
      </c>
      <c r="C114" s="1" t="n">
        <v>45580</v>
      </c>
      <c r="D114" t="inlineStr">
        <is>
          <t>VÄSTRA GÖTALANDS LÄN</t>
        </is>
      </c>
      <c r="E114" t="inlineStr">
        <is>
          <t>GRÄSTORP</t>
        </is>
      </c>
      <c r="G114" t="n">
        <v>0.5</v>
      </c>
      <c r="H114" t="n">
        <v>0</v>
      </c>
      <c r="I114" t="n">
        <v>0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s="2" t="inlineStr"/>
    </row>
    <row r="115" ht="15" customHeight="1">
      <c r="A115" t="inlineStr">
        <is>
          <t>A 11345-2024</t>
        </is>
      </c>
      <c r="B115" s="1" t="n">
        <v>45372</v>
      </c>
      <c r="C115" s="1" t="n">
        <v>45580</v>
      </c>
      <c r="D115" t="inlineStr">
        <is>
          <t>VÄSTRA GÖTALANDS LÄN</t>
        </is>
      </c>
      <c r="E115" t="inlineStr">
        <is>
          <t>GRÄSTORP</t>
        </is>
      </c>
      <c r="G115" t="n">
        <v>2.5</v>
      </c>
      <c r="H115" t="n">
        <v>0</v>
      </c>
      <c r="I115" t="n">
        <v>0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s="2" t="inlineStr"/>
    </row>
    <row r="116" ht="15" customHeight="1">
      <c r="A116" t="inlineStr">
        <is>
          <t>A 16173-2024</t>
        </is>
      </c>
      <c r="B116" s="1" t="n">
        <v>45406</v>
      </c>
      <c r="C116" s="1" t="n">
        <v>45580</v>
      </c>
      <c r="D116" t="inlineStr">
        <is>
          <t>VÄSTRA GÖTALANDS LÄN</t>
        </is>
      </c>
      <c r="E116" t="inlineStr">
        <is>
          <t>GRÄSTORP</t>
        </is>
      </c>
      <c r="G116" t="n">
        <v>3.3</v>
      </c>
      <c r="H116" t="n">
        <v>0</v>
      </c>
      <c r="I116" t="n">
        <v>0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s="2" t="inlineStr"/>
    </row>
    <row r="117" ht="15" customHeight="1">
      <c r="A117" t="inlineStr">
        <is>
          <t>A 16172-2024</t>
        </is>
      </c>
      <c r="B117" s="1" t="n">
        <v>45406</v>
      </c>
      <c r="C117" s="1" t="n">
        <v>45580</v>
      </c>
      <c r="D117" t="inlineStr">
        <is>
          <t>VÄSTRA GÖTALANDS LÄN</t>
        </is>
      </c>
      <c r="E117" t="inlineStr">
        <is>
          <t>GRÄSTORP</t>
        </is>
      </c>
      <c r="G117" t="n">
        <v>1.1</v>
      </c>
      <c r="H117" t="n">
        <v>0</v>
      </c>
      <c r="I117" t="n">
        <v>0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s="2" t="inlineStr"/>
    </row>
    <row r="118" ht="15" customHeight="1">
      <c r="A118" t="inlineStr">
        <is>
          <t>A 19282-2024</t>
        </is>
      </c>
      <c r="B118" s="1" t="n">
        <v>45428</v>
      </c>
      <c r="C118" s="1" t="n">
        <v>45580</v>
      </c>
      <c r="D118" t="inlineStr">
        <is>
          <t>VÄSTRA GÖTALANDS LÄN</t>
        </is>
      </c>
      <c r="E118" t="inlineStr">
        <is>
          <t>GRÄSTORP</t>
        </is>
      </c>
      <c r="G118" t="n">
        <v>5.8</v>
      </c>
      <c r="H118" t="n">
        <v>0</v>
      </c>
      <c r="I118" t="n">
        <v>0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s="2" t="inlineStr"/>
    </row>
    <row r="119" ht="15" customHeight="1">
      <c r="A119" t="inlineStr">
        <is>
          <t>A 21060-2024</t>
        </is>
      </c>
      <c r="B119" s="1" t="n">
        <v>45439</v>
      </c>
      <c r="C119" s="1" t="n">
        <v>45580</v>
      </c>
      <c r="D119" t="inlineStr">
        <is>
          <t>VÄSTRA GÖTALANDS LÄN</t>
        </is>
      </c>
      <c r="E119" t="inlineStr">
        <is>
          <t>GRÄSTORP</t>
        </is>
      </c>
      <c r="G119" t="n">
        <v>3.1</v>
      </c>
      <c r="H119" t="n">
        <v>0</v>
      </c>
      <c r="I119" t="n">
        <v>0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s="2" t="inlineStr"/>
    </row>
    <row r="120" ht="15" customHeight="1">
      <c r="A120" t="inlineStr">
        <is>
          <t>A 21062-2024</t>
        </is>
      </c>
      <c r="B120" s="1" t="n">
        <v>45439</v>
      </c>
      <c r="C120" s="1" t="n">
        <v>45580</v>
      </c>
      <c r="D120" t="inlineStr">
        <is>
          <t>VÄSTRA GÖTALANDS LÄN</t>
        </is>
      </c>
      <c r="E120" t="inlineStr">
        <is>
          <t>GRÄSTORP</t>
        </is>
      </c>
      <c r="G120" t="n">
        <v>1.6</v>
      </c>
      <c r="H120" t="n">
        <v>0</v>
      </c>
      <c r="I120" t="n">
        <v>0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s="2" t="inlineStr"/>
    </row>
    <row r="121" ht="15" customHeight="1">
      <c r="A121" t="inlineStr">
        <is>
          <t>A 22167-2024</t>
        </is>
      </c>
      <c r="B121" s="1" t="n">
        <v>45446</v>
      </c>
      <c r="C121" s="1" t="n">
        <v>45580</v>
      </c>
      <c r="D121" t="inlineStr">
        <is>
          <t>VÄSTRA GÖTALANDS LÄN</t>
        </is>
      </c>
      <c r="E121" t="inlineStr">
        <is>
          <t>GRÄSTORP</t>
        </is>
      </c>
      <c r="G121" t="n">
        <v>0.4</v>
      </c>
      <c r="H121" t="n">
        <v>0</v>
      </c>
      <c r="I121" t="n">
        <v>0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s="2" t="inlineStr"/>
    </row>
    <row r="122" ht="15" customHeight="1">
      <c r="A122" t="inlineStr">
        <is>
          <t>A 29632-2024</t>
        </is>
      </c>
      <c r="B122" s="1" t="n">
        <v>45484</v>
      </c>
      <c r="C122" s="1" t="n">
        <v>45580</v>
      </c>
      <c r="D122" t="inlineStr">
        <is>
          <t>VÄSTRA GÖTALANDS LÄN</t>
        </is>
      </c>
      <c r="E122" t="inlineStr">
        <is>
          <t>GRÄSTORP</t>
        </is>
      </c>
      <c r="F122" t="inlineStr">
        <is>
          <t>Kyrkan</t>
        </is>
      </c>
      <c r="G122" t="n">
        <v>0.9</v>
      </c>
      <c r="H122" t="n">
        <v>0</v>
      </c>
      <c r="I122" t="n">
        <v>0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s="2" t="inlineStr"/>
    </row>
    <row r="123" ht="15" customHeight="1">
      <c r="A123" t="inlineStr">
        <is>
          <t>A 32491-2024</t>
        </is>
      </c>
      <c r="B123" s="1" t="n">
        <v>45513</v>
      </c>
      <c r="C123" s="1" t="n">
        <v>45580</v>
      </c>
      <c r="D123" t="inlineStr">
        <is>
          <t>VÄSTRA GÖTALANDS LÄN</t>
        </is>
      </c>
      <c r="E123" t="inlineStr">
        <is>
          <t>GRÄSTORP</t>
        </is>
      </c>
      <c r="G123" t="n">
        <v>1.4</v>
      </c>
      <c r="H123" t="n">
        <v>0</v>
      </c>
      <c r="I123" t="n">
        <v>0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s="2" t="inlineStr"/>
    </row>
    <row r="124" ht="15" customHeight="1">
      <c r="A124" t="inlineStr">
        <is>
          <t>A 32667-2024</t>
        </is>
      </c>
      <c r="B124" s="1" t="n">
        <v>45514</v>
      </c>
      <c r="C124" s="1" t="n">
        <v>45580</v>
      </c>
      <c r="D124" t="inlineStr">
        <is>
          <t>VÄSTRA GÖTALANDS LÄN</t>
        </is>
      </c>
      <c r="E124" t="inlineStr">
        <is>
          <t>GRÄSTORP</t>
        </is>
      </c>
      <c r="G124" t="n">
        <v>0.9</v>
      </c>
      <c r="H124" t="n">
        <v>0</v>
      </c>
      <c r="I124" t="n">
        <v>0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s="2" t="inlineStr"/>
    </row>
    <row r="125" ht="15" customHeight="1">
      <c r="A125" t="inlineStr">
        <is>
          <t>A 35091-2024</t>
        </is>
      </c>
      <c r="B125" s="1" t="n">
        <v>45527</v>
      </c>
      <c r="C125" s="1" t="n">
        <v>45580</v>
      </c>
      <c r="D125" t="inlineStr">
        <is>
          <t>VÄSTRA GÖTALANDS LÄN</t>
        </is>
      </c>
      <c r="E125" t="inlineStr">
        <is>
          <t>GRÄSTORP</t>
        </is>
      </c>
      <c r="G125" t="n">
        <v>1.5</v>
      </c>
      <c r="H125" t="n">
        <v>0</v>
      </c>
      <c r="I125" t="n">
        <v>0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s="2" t="inlineStr"/>
    </row>
    <row r="126">
      <c r="A126" t="inlineStr">
        <is>
          <t>A 37775-2024</t>
        </is>
      </c>
      <c r="B126" s="1" t="n">
        <v>45542</v>
      </c>
      <c r="C126" s="1" t="n">
        <v>45580</v>
      </c>
      <c r="D126" t="inlineStr">
        <is>
          <t>VÄSTRA GÖTALANDS LÄN</t>
        </is>
      </c>
      <c r="E126" t="inlineStr">
        <is>
          <t>GRÄSTORP</t>
        </is>
      </c>
      <c r="G126" t="n">
        <v>6.4</v>
      </c>
      <c r="H126" t="n">
        <v>0</v>
      </c>
      <c r="I126" t="n">
        <v>0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</Application>
  <AppVersion>3.1.4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2024-10-15T12:43:37Z</dcterms:created>
  <dcterms:modified xmlns:dcterms="http://purl.org/dc/terms/" xmlns:xsi="http://www.w3.org/2001/XMLSchema-instance" xsi:type="dcterms:W3CDTF">2024-10-15T12:43:37Z</dcterms:modified>
</cp:coreProperties>
</file>